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
    </mc:Choice>
  </mc:AlternateContent>
  <xr:revisionPtr revIDLastSave="0" documentId="8_{1E71D1FC-EB47-48D7-9404-84FB5008CB03}" xr6:coauthVersionLast="47" xr6:coauthVersionMax="47" xr10:uidLastSave="{00000000-0000-0000-0000-000000000000}"/>
  <bookViews>
    <workbookView xWindow="-27495" yWindow="975" windowWidth="26475" windowHeight="14325"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externalReferences>
    <externalReference r:id="rId13"/>
    <externalReference r:id="rId14"/>
  </externalReferences>
  <definedNames>
    <definedName name="_xlnm._FilterDatabase" localSheetId="5" hidden="1">'Diags Raw Data'!$A$5:$AH$176</definedName>
    <definedName name="_xlnm._FilterDatabase" localSheetId="7" hidden="1">'Feature Raw Data'!$A$2:$E$102</definedName>
    <definedName name="_xlnm._FilterDatabase" localSheetId="8" hidden="1">'Feature Summary'!$A$6:$U$148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305"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G169" i="53" l="1"/>
  <c r="AE169" i="53"/>
  <c r="X169" i="53"/>
  <c r="AG168" i="53"/>
  <c r="AE168" i="53"/>
  <c r="X168" i="53"/>
  <c r="Q131" i="55"/>
  <c r="P131" i="55"/>
  <c r="J131" i="55"/>
  <c r="I131" i="55"/>
  <c r="F131" i="55"/>
  <c r="E131" i="55"/>
  <c r="D131" i="55" a="1"/>
  <c r="D131" i="55" s="1"/>
  <c r="C131" i="55"/>
  <c r="B131" i="55"/>
  <c r="Q130" i="55"/>
  <c r="P130" i="55"/>
  <c r="S130" i="55" s="1"/>
  <c r="J130" i="55"/>
  <c r="I130" i="55"/>
  <c r="F130" i="55"/>
  <c r="E130" i="55"/>
  <c r="D130" i="55" a="1"/>
  <c r="D130" i="55" s="1"/>
  <c r="C130" i="55"/>
  <c r="B130" i="55"/>
  <c r="Q129" i="55"/>
  <c r="P129" i="55"/>
  <c r="J129" i="55"/>
  <c r="I129" i="55"/>
  <c r="F129" i="55"/>
  <c r="E129" i="55"/>
  <c r="D129" i="55" a="1"/>
  <c r="D129" i="55" s="1"/>
  <c r="C129" i="55"/>
  <c r="B129" i="55"/>
  <c r="Q128" i="55"/>
  <c r="P128" i="55"/>
  <c r="J128" i="55"/>
  <c r="I128" i="55"/>
  <c r="F128" i="55"/>
  <c r="E128" i="55"/>
  <c r="D128" i="55" a="1"/>
  <c r="D128" i="55" s="1"/>
  <c r="H128" i="55" s="1"/>
  <c r="C128" i="55"/>
  <c r="B128" i="55"/>
  <c r="Q127" i="55"/>
  <c r="P127" i="55"/>
  <c r="J127" i="55"/>
  <c r="I127" i="55"/>
  <c r="F127" i="55"/>
  <c r="E127" i="55"/>
  <c r="D127" i="55" a="1"/>
  <c r="D127" i="55" s="1"/>
  <c r="C127" i="55"/>
  <c r="B127" i="55"/>
  <c r="Q126" i="55"/>
  <c r="P126" i="55"/>
  <c r="J126" i="55"/>
  <c r="I126" i="55"/>
  <c r="F126" i="55"/>
  <c r="E126" i="55"/>
  <c r="D126" i="55" a="1"/>
  <c r="D126" i="55" s="1"/>
  <c r="C126" i="55"/>
  <c r="B126" i="55"/>
  <c r="Q125" i="55"/>
  <c r="P125" i="55"/>
  <c r="J125" i="55"/>
  <c r="R125" i="55" s="1"/>
  <c r="T125" i="55" s="1"/>
  <c r="I125" i="55"/>
  <c r="F125" i="55"/>
  <c r="E125" i="55"/>
  <c r="D125" i="55" a="1"/>
  <c r="D125" i="55" s="1"/>
  <c r="C125" i="55"/>
  <c r="B125" i="55"/>
  <c r="Q124" i="55"/>
  <c r="P124" i="55"/>
  <c r="J124" i="55"/>
  <c r="I124" i="55"/>
  <c r="F124" i="55"/>
  <c r="E124" i="55"/>
  <c r="D124" i="55" a="1"/>
  <c r="D124" i="55" s="1"/>
  <c r="C124" i="55"/>
  <c r="B124" i="55"/>
  <c r="Q123" i="55"/>
  <c r="P123" i="55"/>
  <c r="J123" i="55"/>
  <c r="I123" i="55"/>
  <c r="F123" i="55"/>
  <c r="E123" i="55"/>
  <c r="D123" i="55" a="1"/>
  <c r="D123" i="55" s="1"/>
  <c r="C123" i="55"/>
  <c r="B123" i="55"/>
  <c r="Q122" i="55"/>
  <c r="P122" i="55"/>
  <c r="S122" i="55" s="1"/>
  <c r="J122" i="55"/>
  <c r="I122" i="55"/>
  <c r="F122" i="55"/>
  <c r="E122" i="55"/>
  <c r="D122" i="55" a="1"/>
  <c r="D122" i="55" s="1"/>
  <c r="C122" i="55"/>
  <c r="B122" i="55"/>
  <c r="Q106" i="55"/>
  <c r="P106" i="55"/>
  <c r="S106" i="55"/>
  <c r="J106" i="55"/>
  <c r="I106" i="55"/>
  <c r="F106" i="55"/>
  <c r="E106" i="55"/>
  <c r="D106" i="55" a="1"/>
  <c r="D106" i="55" s="1"/>
  <c r="C106" i="55"/>
  <c r="B106" i="55"/>
  <c r="Q105" i="55"/>
  <c r="S105" i="55"/>
  <c r="P105" i="55"/>
  <c r="J105" i="55"/>
  <c r="I105" i="55"/>
  <c r="F105" i="55"/>
  <c r="E105" i="55"/>
  <c r="D105" i="55" a="1"/>
  <c r="D105" i="55" s="1"/>
  <c r="C105" i="55"/>
  <c r="B105" i="55"/>
  <c r="Q104" i="55"/>
  <c r="P104" i="55"/>
  <c r="J104" i="55"/>
  <c r="I104" i="55"/>
  <c r="F104" i="55"/>
  <c r="E104" i="55"/>
  <c r="D104" i="55" a="1"/>
  <c r="D104" i="55" s="1"/>
  <c r="C104" i="55"/>
  <c r="B104" i="55"/>
  <c r="Q103" i="55"/>
  <c r="P103" i="55"/>
  <c r="S103" i="55" s="1"/>
  <c r="J103" i="55"/>
  <c r="I103" i="55"/>
  <c r="F103" i="55"/>
  <c r="E103" i="55"/>
  <c r="D103" i="55" a="1"/>
  <c r="D103" i="55" s="1"/>
  <c r="H103" i="55" s="1"/>
  <c r="C103" i="55"/>
  <c r="B103" i="55"/>
  <c r="Q102" i="55"/>
  <c r="P102" i="55"/>
  <c r="S102" i="55" s="1"/>
  <c r="J102" i="55"/>
  <c r="I102" i="55"/>
  <c r="F102" i="55"/>
  <c r="E102" i="55"/>
  <c r="D102" i="55" a="1"/>
  <c r="D102" i="55" s="1"/>
  <c r="G102" i="55" s="1"/>
  <c r="C102" i="55"/>
  <c r="B102" i="55"/>
  <c r="Q101" i="55"/>
  <c r="P101" i="55"/>
  <c r="J101" i="55"/>
  <c r="I101" i="55"/>
  <c r="F101" i="55"/>
  <c r="E101" i="55"/>
  <c r="D101" i="55" a="1"/>
  <c r="D101" i="55" s="1"/>
  <c r="C101" i="55"/>
  <c r="B101" i="55"/>
  <c r="Q100" i="55"/>
  <c r="P100" i="55"/>
  <c r="S100" i="55" s="1"/>
  <c r="J100" i="55"/>
  <c r="R100" i="55" s="1"/>
  <c r="T100" i="55" s="1"/>
  <c r="I100" i="55"/>
  <c r="F100" i="55"/>
  <c r="E100" i="55"/>
  <c r="D100" i="55" a="1"/>
  <c r="D100" i="55" s="1"/>
  <c r="C100" i="55"/>
  <c r="B100" i="55"/>
  <c r="Q99" i="55"/>
  <c r="P99" i="55"/>
  <c r="S99" i="55" s="1"/>
  <c r="J99" i="55"/>
  <c r="R99" i="55" s="1"/>
  <c r="T99" i="55" s="1"/>
  <c r="I99" i="55"/>
  <c r="F99" i="55"/>
  <c r="E99" i="55"/>
  <c r="D99" i="55" a="1"/>
  <c r="D99" i="55" s="1"/>
  <c r="C99" i="55"/>
  <c r="B99" i="55"/>
  <c r="Q98" i="55"/>
  <c r="P98" i="55"/>
  <c r="J98" i="55"/>
  <c r="I98" i="55"/>
  <c r="F98" i="55"/>
  <c r="E98" i="55"/>
  <c r="D98" i="55" a="1"/>
  <c r="D98" i="55" s="1"/>
  <c r="H98" i="55" s="1"/>
  <c r="C98" i="55"/>
  <c r="B98" i="55"/>
  <c r="Q97" i="55"/>
  <c r="P97" i="55"/>
  <c r="J97" i="55"/>
  <c r="I97" i="55"/>
  <c r="F97" i="55"/>
  <c r="E97" i="55"/>
  <c r="D97" i="55" a="1"/>
  <c r="D97" i="55" s="1"/>
  <c r="H97" i="55" s="1"/>
  <c r="C97" i="55"/>
  <c r="B97" i="55"/>
  <c r="Q96" i="55"/>
  <c r="P96" i="55"/>
  <c r="J96" i="55"/>
  <c r="I96" i="55"/>
  <c r="F96" i="55"/>
  <c r="E96" i="55"/>
  <c r="D96" i="55" a="1"/>
  <c r="D96" i="55" s="1"/>
  <c r="C96" i="55"/>
  <c r="B96" i="55"/>
  <c r="Q95" i="55"/>
  <c r="P95" i="55"/>
  <c r="J95" i="55"/>
  <c r="I95" i="55"/>
  <c r="F95" i="55"/>
  <c r="E95" i="55"/>
  <c r="D95" i="55" a="1"/>
  <c r="D95" i="55" s="1"/>
  <c r="C95" i="55"/>
  <c r="B95" i="55"/>
  <c r="Q94" i="55"/>
  <c r="P94" i="55"/>
  <c r="J94" i="55"/>
  <c r="I94" i="55"/>
  <c r="F94" i="55"/>
  <c r="E94" i="55"/>
  <c r="D94" i="55" a="1"/>
  <c r="D94" i="55" s="1"/>
  <c r="H94" i="55" s="1"/>
  <c r="C94" i="55"/>
  <c r="B94" i="55"/>
  <c r="Q93" i="55"/>
  <c r="P93" i="55"/>
  <c r="J93" i="55"/>
  <c r="I93" i="55"/>
  <c r="F93" i="55"/>
  <c r="E93" i="55"/>
  <c r="D93" i="55" a="1"/>
  <c r="D93" i="55" s="1"/>
  <c r="C93" i="55"/>
  <c r="B93" i="55"/>
  <c r="Q92" i="55"/>
  <c r="P92" i="55"/>
  <c r="S92" i="55" s="1"/>
  <c r="J92" i="55"/>
  <c r="I92" i="55"/>
  <c r="F92" i="55"/>
  <c r="E92" i="55"/>
  <c r="D92" i="55" a="1"/>
  <c r="D92" i="55" s="1"/>
  <c r="C92" i="55"/>
  <c r="B92" i="55"/>
  <c r="Q91" i="55"/>
  <c r="P91" i="55"/>
  <c r="J91" i="55"/>
  <c r="I91" i="55"/>
  <c r="F91" i="55"/>
  <c r="E91" i="55"/>
  <c r="D91" i="55" a="1"/>
  <c r="D91" i="55" s="1"/>
  <c r="C91" i="55"/>
  <c r="B91" i="55"/>
  <c r="Q90" i="55"/>
  <c r="P90" i="55"/>
  <c r="J90" i="55"/>
  <c r="I90" i="55"/>
  <c r="F90" i="55"/>
  <c r="E90" i="55"/>
  <c r="D90" i="55" a="1"/>
  <c r="D90" i="55" s="1"/>
  <c r="G90" i="55" s="1"/>
  <c r="C90" i="55"/>
  <c r="B90" i="55"/>
  <c r="Q89" i="55"/>
  <c r="P89" i="55"/>
  <c r="S89" i="55" s="1"/>
  <c r="J89" i="55"/>
  <c r="I89" i="55"/>
  <c r="F89" i="55"/>
  <c r="E89" i="55"/>
  <c r="D89" i="55" a="1"/>
  <c r="D89" i="55" s="1"/>
  <c r="G89" i="55" s="1"/>
  <c r="C89" i="55"/>
  <c r="B89" i="55"/>
  <c r="Q88" i="55"/>
  <c r="P88" i="55"/>
  <c r="S88" i="55"/>
  <c r="J88" i="55"/>
  <c r="I88" i="55"/>
  <c r="F88" i="55"/>
  <c r="E88" i="55"/>
  <c r="D88" i="55" a="1"/>
  <c r="D88" i="55" s="1"/>
  <c r="C88" i="55"/>
  <c r="B88" i="55"/>
  <c r="Q87" i="55"/>
  <c r="P87" i="55"/>
  <c r="S87" i="55" s="1"/>
  <c r="J87" i="55"/>
  <c r="I87" i="55"/>
  <c r="F87" i="55"/>
  <c r="E87" i="55"/>
  <c r="D87" i="55" a="1"/>
  <c r="D87" i="55" s="1"/>
  <c r="C87" i="55"/>
  <c r="B87" i="55"/>
  <c r="Q86" i="55"/>
  <c r="P86" i="55"/>
  <c r="J86" i="55"/>
  <c r="I86" i="55"/>
  <c r="F86" i="55"/>
  <c r="E86" i="55"/>
  <c r="D86" i="55" a="1"/>
  <c r="D86" i="55" s="1"/>
  <c r="C86" i="55"/>
  <c r="B86" i="55"/>
  <c r="Q85" i="55"/>
  <c r="P85" i="55"/>
  <c r="J85" i="55"/>
  <c r="I85" i="55"/>
  <c r="F85" i="55"/>
  <c r="E85" i="55"/>
  <c r="D85" i="55" a="1"/>
  <c r="D85" i="55" s="1"/>
  <c r="C85" i="55"/>
  <c r="B85" i="55"/>
  <c r="Q84" i="55"/>
  <c r="P84" i="55"/>
  <c r="J84" i="55"/>
  <c r="I84" i="55"/>
  <c r="F84" i="55"/>
  <c r="E84" i="55"/>
  <c r="D84" i="55" a="1"/>
  <c r="D84" i="55" s="1"/>
  <c r="C84" i="55"/>
  <c r="B84" i="55"/>
  <c r="Q83" i="55"/>
  <c r="P83" i="55"/>
  <c r="J83" i="55"/>
  <c r="I83" i="55"/>
  <c r="F83" i="55"/>
  <c r="E83" i="55"/>
  <c r="D83" i="55" a="1"/>
  <c r="D83" i="55" s="1"/>
  <c r="C83" i="55"/>
  <c r="B83" i="55"/>
  <c r="Q82" i="55"/>
  <c r="P82" i="55"/>
  <c r="J82" i="55"/>
  <c r="I82" i="55"/>
  <c r="F82" i="55"/>
  <c r="E82" i="55"/>
  <c r="D82" i="55" a="1"/>
  <c r="D82" i="55"/>
  <c r="G82" i="55" s="1"/>
  <c r="C82" i="55"/>
  <c r="B82" i="55"/>
  <c r="AG167" i="53"/>
  <c r="AE167" i="53"/>
  <c r="X167" i="53"/>
  <c r="AG170" i="53"/>
  <c r="AG166" i="53"/>
  <c r="AG165" i="53"/>
  <c r="AG164" i="53"/>
  <c r="AG163" i="53"/>
  <c r="AG162" i="53"/>
  <c r="AG161" i="53"/>
  <c r="AG160" i="53"/>
  <c r="AG159" i="53"/>
  <c r="AG158" i="53"/>
  <c r="AG157" i="53"/>
  <c r="AG156" i="53"/>
  <c r="AG155" i="53"/>
  <c r="AG154" i="53"/>
  <c r="AG153" i="53"/>
  <c r="AG152" i="53"/>
  <c r="AG151" i="53"/>
  <c r="AG150" i="53"/>
  <c r="AG149" i="53"/>
  <c r="AG148" i="53"/>
  <c r="AG147" i="53"/>
  <c r="AG146" i="53"/>
  <c r="AG144" i="53"/>
  <c r="AG143" i="53"/>
  <c r="AG142" i="53"/>
  <c r="AG141" i="53"/>
  <c r="AG140" i="53"/>
  <c r="AG139" i="53"/>
  <c r="AG138" i="53"/>
  <c r="AG137" i="53"/>
  <c r="AG136" i="53"/>
  <c r="AG135" i="53"/>
  <c r="AG134" i="53"/>
  <c r="AG133" i="53"/>
  <c r="AG132" i="53"/>
  <c r="AG131" i="53"/>
  <c r="AG130" i="53"/>
  <c r="AG129" i="53"/>
  <c r="AG128" i="53"/>
  <c r="AG127" i="53"/>
  <c r="AG126" i="53"/>
  <c r="AG125" i="53"/>
  <c r="AG124" i="53"/>
  <c r="AG123" i="53"/>
  <c r="AG122" i="53"/>
  <c r="AG121" i="53"/>
  <c r="AG120" i="53"/>
  <c r="AG119" i="53"/>
  <c r="AG118" i="53"/>
  <c r="AG117" i="53"/>
  <c r="AG116" i="53"/>
  <c r="AG115" i="53"/>
  <c r="AG114" i="53"/>
  <c r="AG113" i="53"/>
  <c r="AG112" i="53"/>
  <c r="AG111" i="53"/>
  <c r="AG110" i="53"/>
  <c r="AG109" i="53"/>
  <c r="AG108" i="53"/>
  <c r="AG107" i="53"/>
  <c r="AG106" i="53"/>
  <c r="AG105" i="53"/>
  <c r="AG104" i="53"/>
  <c r="AG103" i="53"/>
  <c r="AG102" i="53"/>
  <c r="AG101" i="53"/>
  <c r="AG100" i="53"/>
  <c r="AG99" i="53"/>
  <c r="AG98" i="53"/>
  <c r="AG97" i="53"/>
  <c r="AG96" i="53"/>
  <c r="AG95" i="53"/>
  <c r="AG94" i="53"/>
  <c r="AG93" i="53"/>
  <c r="AG92" i="53"/>
  <c r="AG91" i="53"/>
  <c r="AG90" i="53"/>
  <c r="AG89" i="53"/>
  <c r="AG88" i="53"/>
  <c r="AG87" i="53"/>
  <c r="AG86" i="53"/>
  <c r="AG85" i="53"/>
  <c r="AG84" i="53"/>
  <c r="AG83" i="53"/>
  <c r="AG82" i="53"/>
  <c r="AG81" i="53"/>
  <c r="AG80" i="53"/>
  <c r="AG79" i="53"/>
  <c r="AG78" i="53"/>
  <c r="AG77" i="53"/>
  <c r="AG76" i="53"/>
  <c r="AG75" i="53"/>
  <c r="AG74" i="53"/>
  <c r="AG73" i="53"/>
  <c r="AG72" i="53"/>
  <c r="AG71" i="53"/>
  <c r="AG70" i="53"/>
  <c r="AG69" i="53"/>
  <c r="AG67" i="53"/>
  <c r="AG66" i="53"/>
  <c r="AG65" i="53"/>
  <c r="AG64" i="53"/>
  <c r="AG63" i="53"/>
  <c r="AG62" i="53"/>
  <c r="AG61" i="53"/>
  <c r="AG60" i="53"/>
  <c r="AG59" i="53"/>
  <c r="AG58" i="53"/>
  <c r="AG57" i="53"/>
  <c r="AG56" i="53"/>
  <c r="AG55" i="53"/>
  <c r="AG54" i="53"/>
  <c r="AG53" i="53"/>
  <c r="AG52" i="53"/>
  <c r="AG51" i="53"/>
  <c r="AG50" i="53"/>
  <c r="AG49" i="53"/>
  <c r="AG48" i="53"/>
  <c r="AG47" i="53"/>
  <c r="AG46" i="53"/>
  <c r="AG45" i="53"/>
  <c r="AG44" i="53"/>
  <c r="AG43" i="53"/>
  <c r="AG42" i="53"/>
  <c r="AG41" i="53"/>
  <c r="AG40" i="53"/>
  <c r="AG39" i="53"/>
  <c r="AG38" i="53"/>
  <c r="AG37" i="53"/>
  <c r="AG36" i="53"/>
  <c r="AG35" i="53"/>
  <c r="AG34" i="53"/>
  <c r="AG33" i="53"/>
  <c r="AG32" i="53"/>
  <c r="AG31" i="53"/>
  <c r="AG30" i="53"/>
  <c r="AG29" i="53"/>
  <c r="AG28" i="53"/>
  <c r="AG27" i="53"/>
  <c r="AG26" i="53"/>
  <c r="AG25" i="53"/>
  <c r="AG24" i="53"/>
  <c r="AG23" i="53"/>
  <c r="AG22" i="53"/>
  <c r="AG21" i="53"/>
  <c r="AG20" i="53"/>
  <c r="AG19" i="53"/>
  <c r="AG18" i="53"/>
  <c r="AG17" i="53"/>
  <c r="AG16" i="53"/>
  <c r="AG15" i="53"/>
  <c r="AG14" i="53"/>
  <c r="AG13" i="53"/>
  <c r="AG12" i="53"/>
  <c r="AG11" i="53"/>
  <c r="AG10" i="53"/>
  <c r="AG9" i="53"/>
  <c r="AG8" i="53"/>
  <c r="AG7" i="53"/>
  <c r="AG6" i="53"/>
  <c r="G156" i="53"/>
  <c r="G155" i="53"/>
  <c r="G154" i="53"/>
  <c r="G153" i="53"/>
  <c r="G152" i="53"/>
  <c r="G151" i="53"/>
  <c r="G150" i="53"/>
  <c r="G149" i="53"/>
  <c r="G148" i="53"/>
  <c r="G147" i="53"/>
  <c r="G146" i="53"/>
  <c r="G144" i="53"/>
  <c r="G143" i="53"/>
  <c r="G142" i="53"/>
  <c r="G141" i="53"/>
  <c r="G140" i="53"/>
  <c r="G139" i="53"/>
  <c r="G138" i="53"/>
  <c r="G137" i="53"/>
  <c r="G136" i="53"/>
  <c r="G135" i="53"/>
  <c r="G134" i="53"/>
  <c r="G133" i="53"/>
  <c r="G132" i="53"/>
  <c r="G131" i="53"/>
  <c r="G130" i="53"/>
  <c r="G129" i="53"/>
  <c r="G128" i="53"/>
  <c r="G127" i="53"/>
  <c r="G126" i="53"/>
  <c r="G125" i="53"/>
  <c r="G124" i="53"/>
  <c r="G123" i="53"/>
  <c r="G122" i="53"/>
  <c r="G121" i="53"/>
  <c r="G120" i="53"/>
  <c r="G119" i="53"/>
  <c r="G118" i="53"/>
  <c r="G117" i="53"/>
  <c r="G116" i="53"/>
  <c r="G115" i="53"/>
  <c r="G114" i="53"/>
  <c r="G113" i="53"/>
  <c r="G112" i="53"/>
  <c r="G111" i="53"/>
  <c r="G110" i="53"/>
  <c r="G109" i="53"/>
  <c r="G108" i="53"/>
  <c r="G107" i="53"/>
  <c r="G106" i="53"/>
  <c r="G105" i="53"/>
  <c r="G104" i="53"/>
  <c r="G103" i="53"/>
  <c r="G102" i="53"/>
  <c r="G101" i="53"/>
  <c r="G100" i="53"/>
  <c r="G99" i="53"/>
  <c r="G98" i="53"/>
  <c r="G97" i="53"/>
  <c r="G96" i="53"/>
  <c r="G95" i="53"/>
  <c r="G94" i="53"/>
  <c r="G93" i="53"/>
  <c r="G92" i="53"/>
  <c r="G91" i="53"/>
  <c r="G90" i="53"/>
  <c r="G89" i="53"/>
  <c r="G88" i="53"/>
  <c r="G87" i="53"/>
  <c r="G86" i="53"/>
  <c r="G85" i="53"/>
  <c r="G84" i="53"/>
  <c r="G83" i="53"/>
  <c r="G82" i="53"/>
  <c r="G81" i="53"/>
  <c r="G80" i="53"/>
  <c r="G79" i="53"/>
  <c r="G78" i="53"/>
  <c r="G77" i="53"/>
  <c r="G76" i="53"/>
  <c r="G75" i="53"/>
  <c r="G74" i="53"/>
  <c r="G73" i="53"/>
  <c r="G72" i="53"/>
  <c r="G71" i="53"/>
  <c r="G70" i="53"/>
  <c r="G69" i="53"/>
  <c r="G67" i="53"/>
  <c r="G66" i="53"/>
  <c r="G65" i="53"/>
  <c r="G64" i="53"/>
  <c r="G63" i="53"/>
  <c r="G62" i="53"/>
  <c r="G61" i="53"/>
  <c r="G60" i="53"/>
  <c r="G59" i="53"/>
  <c r="G58" i="53"/>
  <c r="G57" i="53"/>
  <c r="G56" i="53"/>
  <c r="G55" i="53"/>
  <c r="G54" i="53"/>
  <c r="G53" i="53"/>
  <c r="G52" i="53"/>
  <c r="G51" i="53"/>
  <c r="G50" i="53"/>
  <c r="G49" i="53"/>
  <c r="G48" i="53"/>
  <c r="G47" i="53"/>
  <c r="G46" i="53"/>
  <c r="G45" i="53"/>
  <c r="G44" i="53"/>
  <c r="G43" i="53"/>
  <c r="G42" i="53"/>
  <c r="G41" i="53"/>
  <c r="G40" i="53"/>
  <c r="G39" i="53"/>
  <c r="G38" i="53"/>
  <c r="G37" i="53"/>
  <c r="G36" i="53"/>
  <c r="G35" i="53"/>
  <c r="G34" i="53"/>
  <c r="G33" i="53"/>
  <c r="G32" i="53"/>
  <c r="G31" i="53"/>
  <c r="G30" i="53"/>
  <c r="G29" i="53"/>
  <c r="G28" i="53"/>
  <c r="G27" i="53"/>
  <c r="G26" i="53"/>
  <c r="G25" i="53"/>
  <c r="G24" i="53"/>
  <c r="G23" i="53"/>
  <c r="G22" i="53"/>
  <c r="G21" i="53"/>
  <c r="G20" i="53"/>
  <c r="G19" i="53"/>
  <c r="G18" i="53"/>
  <c r="G17" i="53"/>
  <c r="G16" i="53"/>
  <c r="G15" i="53"/>
  <c r="G14" i="53"/>
  <c r="G13" i="53"/>
  <c r="G12" i="53"/>
  <c r="G11" i="53"/>
  <c r="G10" i="53"/>
  <c r="G9" i="53"/>
  <c r="G8" i="53"/>
  <c r="G7" i="53"/>
  <c r="D111" i="55" a="1"/>
  <c r="D111" i="55" s="1"/>
  <c r="B7" i="55"/>
  <c r="B4" i="59"/>
  <c r="F4" i="59" s="1"/>
  <c r="T2" i="53"/>
  <c r="R176" i="53"/>
  <c r="M86" i="55" s="1" a="1"/>
  <c r="M86" i="55" s="1"/>
  <c r="O176" i="53"/>
  <c r="K2" i="53"/>
  <c r="K34" i="59"/>
  <c r="C13" i="59"/>
  <c r="L13" i="59" s="1"/>
  <c r="C18" i="59"/>
  <c r="L18" i="59"/>
  <c r="I7" i="55"/>
  <c r="D41" i="59"/>
  <c r="D34" i="59"/>
  <c r="D35" i="59"/>
  <c r="D36" i="59"/>
  <c r="D37" i="59"/>
  <c r="D38" i="59"/>
  <c r="D39" i="59"/>
  <c r="D40" i="59"/>
  <c r="D33" i="59"/>
  <c r="D32" i="59"/>
  <c r="D27" i="59"/>
  <c r="D20" i="59"/>
  <c r="D21" i="59"/>
  <c r="D22" i="59"/>
  <c r="D23" i="59"/>
  <c r="D24" i="59"/>
  <c r="D25" i="59"/>
  <c r="D26" i="59"/>
  <c r="D28" i="59" s="1"/>
  <c r="D19" i="59"/>
  <c r="D18" i="59"/>
  <c r="D13" i="59"/>
  <c r="D6" i="59"/>
  <c r="D7" i="59"/>
  <c r="D8" i="59"/>
  <c r="D9" i="59"/>
  <c r="D10" i="59"/>
  <c r="D11" i="59"/>
  <c r="D12" i="59"/>
  <c r="D5" i="59"/>
  <c r="D4" i="59"/>
  <c r="E8" i="59"/>
  <c r="I8" i="55"/>
  <c r="X16" i="53"/>
  <c r="AD2" i="53"/>
  <c r="AC2" i="53"/>
  <c r="AB2" i="53"/>
  <c r="AA2" i="53"/>
  <c r="W2" i="53"/>
  <c r="V2" i="53"/>
  <c r="U2" i="53"/>
  <c r="R2" i="53"/>
  <c r="O2" i="53"/>
  <c r="L2" i="53"/>
  <c r="S13" i="59"/>
  <c r="R13" i="59"/>
  <c r="Q13" i="59"/>
  <c r="P13" i="59"/>
  <c r="K13" i="59"/>
  <c r="J13" i="59"/>
  <c r="I13" i="59"/>
  <c r="H13" i="59"/>
  <c r="E13" i="59"/>
  <c r="B13" i="59"/>
  <c r="V13" i="59" s="1"/>
  <c r="S12" i="59"/>
  <c r="R12" i="59"/>
  <c r="Q12" i="59"/>
  <c r="P12" i="59"/>
  <c r="K12" i="59"/>
  <c r="J12" i="59"/>
  <c r="I12" i="59"/>
  <c r="H12" i="59"/>
  <c r="E12" i="59"/>
  <c r="C12" i="59"/>
  <c r="N12" i="59"/>
  <c r="B12" i="59"/>
  <c r="T12" i="59" s="1"/>
  <c r="S11" i="59"/>
  <c r="R11" i="59"/>
  <c r="Q11" i="59"/>
  <c r="P11" i="59"/>
  <c r="K11" i="59"/>
  <c r="J11" i="59"/>
  <c r="I11" i="59"/>
  <c r="H11" i="59"/>
  <c r="E11" i="59"/>
  <c r="C11" i="59"/>
  <c r="N11" i="59" s="1"/>
  <c r="B11" i="59"/>
  <c r="V11" i="59"/>
  <c r="S10" i="59"/>
  <c r="R10" i="59"/>
  <c r="Q10" i="59"/>
  <c r="P10" i="59"/>
  <c r="K10" i="59"/>
  <c r="J10" i="59"/>
  <c r="I10" i="59"/>
  <c r="H10" i="59"/>
  <c r="E10" i="59"/>
  <c r="C10" i="59"/>
  <c r="N10" i="59" s="1"/>
  <c r="B10" i="59"/>
  <c r="V10" i="59"/>
  <c r="S9" i="59"/>
  <c r="R9" i="59"/>
  <c r="Q9" i="59"/>
  <c r="P9" i="59"/>
  <c r="K9" i="59"/>
  <c r="J9" i="59"/>
  <c r="I9" i="59"/>
  <c r="H9" i="59"/>
  <c r="E9" i="59"/>
  <c r="C9" i="59"/>
  <c r="L9" i="59" s="1"/>
  <c r="B9" i="59"/>
  <c r="T9" i="59" s="1"/>
  <c r="S8" i="59"/>
  <c r="R8" i="59"/>
  <c r="Q8" i="59"/>
  <c r="P8" i="59"/>
  <c r="K8" i="59"/>
  <c r="J8" i="59"/>
  <c r="I8" i="59"/>
  <c r="H8" i="59"/>
  <c r="C8" i="59"/>
  <c r="N8" i="59" s="1"/>
  <c r="B8" i="59"/>
  <c r="F8" i="59" s="1"/>
  <c r="S7" i="59"/>
  <c r="S14" i="59" s="1"/>
  <c r="R7" i="59"/>
  <c r="Q7" i="59"/>
  <c r="P7" i="59"/>
  <c r="K7" i="59"/>
  <c r="J7" i="59"/>
  <c r="I7" i="59"/>
  <c r="H7" i="59"/>
  <c r="E7" i="59"/>
  <c r="C7" i="59"/>
  <c r="L7" i="59" s="1"/>
  <c r="B7" i="59"/>
  <c r="V7" i="59" s="1"/>
  <c r="S6" i="59"/>
  <c r="R6" i="59"/>
  <c r="Q6" i="59"/>
  <c r="P6" i="59"/>
  <c r="K6" i="59"/>
  <c r="J6" i="59"/>
  <c r="I6" i="59"/>
  <c r="I14" i="59" s="1"/>
  <c r="H6" i="59"/>
  <c r="E6" i="59"/>
  <c r="C6" i="59"/>
  <c r="N6" i="59" s="1"/>
  <c r="B6" i="59"/>
  <c r="F6" i="59" s="1"/>
  <c r="S5" i="59"/>
  <c r="R5" i="59"/>
  <c r="R14" i="59" s="1"/>
  <c r="Q5" i="59"/>
  <c r="P5" i="59"/>
  <c r="K5" i="59"/>
  <c r="J5" i="59"/>
  <c r="I5" i="59"/>
  <c r="H5" i="59"/>
  <c r="E5" i="59"/>
  <c r="E14" i="59" s="1"/>
  <c r="C5" i="59"/>
  <c r="N5" i="59"/>
  <c r="B5" i="59"/>
  <c r="T5" i="59" s="1"/>
  <c r="S4" i="59"/>
  <c r="R4" i="59"/>
  <c r="Q4" i="59"/>
  <c r="P4" i="59"/>
  <c r="K4" i="59"/>
  <c r="J4" i="59"/>
  <c r="I4" i="59"/>
  <c r="H4" i="59"/>
  <c r="E4" i="59"/>
  <c r="C4" i="59"/>
  <c r="N4" i="59" s="1"/>
  <c r="I46" i="55"/>
  <c r="I133" i="55"/>
  <c r="J16" i="55"/>
  <c r="J17" i="55"/>
  <c r="D16" i="55" a="1"/>
  <c r="D16" i="55" s="1"/>
  <c r="D17" i="55" a="1"/>
  <c r="D17" i="55" s="1"/>
  <c r="D9" i="55" a="1"/>
  <c r="D9" i="55" s="1"/>
  <c r="D10" i="55" a="1"/>
  <c r="D10" i="55" s="1"/>
  <c r="D11" i="55" a="1"/>
  <c r="D11" i="55" s="1"/>
  <c r="D12" i="55" a="1"/>
  <c r="D12" i="55" s="1"/>
  <c r="D13" i="55" a="1"/>
  <c r="D13" i="55" s="1"/>
  <c r="D14" i="55" a="1"/>
  <c r="D14" i="55" s="1"/>
  <c r="D15" i="55" a="1"/>
  <c r="D15" i="55" s="1"/>
  <c r="D18" i="55" a="1"/>
  <c r="D18" i="55" s="1"/>
  <c r="D19" i="55" a="1"/>
  <c r="D19" i="55"/>
  <c r="D20" i="55" a="1"/>
  <c r="D20" i="55" s="1"/>
  <c r="D21" i="55" a="1"/>
  <c r="D21" i="55" s="1"/>
  <c r="D22" i="55" a="1"/>
  <c r="D22" i="55" s="1"/>
  <c r="D23" i="55" a="1"/>
  <c r="D23" i="55"/>
  <c r="G23" i="55" s="1"/>
  <c r="D24" i="55" a="1"/>
  <c r="D24" i="55" s="1"/>
  <c r="H24" i="55" s="1"/>
  <c r="D25" i="55" a="1"/>
  <c r="D25" i="55" s="1"/>
  <c r="D26" i="55" a="1"/>
  <c r="D26" i="55" s="1"/>
  <c r="D27" i="55" a="1"/>
  <c r="D27" i="55" s="1"/>
  <c r="D28" i="55" a="1"/>
  <c r="D28" i="55" s="1"/>
  <c r="D29" i="55" a="1"/>
  <c r="D29" i="55" s="1"/>
  <c r="D30" i="55" a="1"/>
  <c r="D30" i="55" s="1"/>
  <c r="G30" i="55" s="1"/>
  <c r="D31" i="55" a="1"/>
  <c r="D31" i="55" s="1"/>
  <c r="D32" i="55" a="1"/>
  <c r="D32" i="55" s="1"/>
  <c r="D33" i="55" a="1"/>
  <c r="D33" i="55" s="1"/>
  <c r="G33" i="55" s="1"/>
  <c r="D34" i="55" a="1"/>
  <c r="D34" i="55" s="1"/>
  <c r="H34" i="55" s="1"/>
  <c r="D35" i="55" a="1"/>
  <c r="D35" i="55" s="1"/>
  <c r="D36" i="55" a="1"/>
  <c r="D36" i="55" s="1"/>
  <c r="D37" i="55" a="1"/>
  <c r="D37" i="55" s="1"/>
  <c r="D38" i="55" a="1"/>
  <c r="D38" i="55" s="1"/>
  <c r="D39" i="55" a="1"/>
  <c r="D39" i="55" s="1"/>
  <c r="G39" i="55" s="1"/>
  <c r="D40" i="55" a="1"/>
  <c r="D40" i="55" s="1"/>
  <c r="D41" i="55" a="1"/>
  <c r="D41" i="55" s="1"/>
  <c r="D42" i="55" a="1"/>
  <c r="D42" i="55" s="1"/>
  <c r="H42" i="55" s="1"/>
  <c r="D43" i="55" a="1"/>
  <c r="D43" i="55" s="1"/>
  <c r="D44" i="55" a="1"/>
  <c r="D44" i="55" s="1"/>
  <c r="D45" i="55" a="1"/>
  <c r="D45" i="55" s="1"/>
  <c r="D46" i="55" a="1"/>
  <c r="D46" i="55" s="1"/>
  <c r="D47" i="55" a="1"/>
  <c r="D47" i="55" s="1"/>
  <c r="H47" i="55" s="1"/>
  <c r="D48" i="55" a="1"/>
  <c r="D48" i="55" s="1"/>
  <c r="D49" i="55" a="1"/>
  <c r="D49" i="55" s="1"/>
  <c r="D50" i="55" a="1"/>
  <c r="D50" i="55" s="1"/>
  <c r="D51" i="55" a="1"/>
  <c r="D51" i="55"/>
  <c r="G51" i="55" s="1"/>
  <c r="D52" i="55" a="1"/>
  <c r="D52" i="55" s="1"/>
  <c r="D53" i="55" a="1"/>
  <c r="D53" i="55" s="1"/>
  <c r="D54" i="55" a="1"/>
  <c r="D54" i="55" s="1"/>
  <c r="H54" i="55" s="1"/>
  <c r="D55" i="55" a="1"/>
  <c r="D55" i="55" s="1"/>
  <c r="G55" i="55" s="1"/>
  <c r="D56" i="55" a="1"/>
  <c r="D56" i="55" s="1"/>
  <c r="H56" i="55" s="1"/>
  <c r="D57" i="55" a="1"/>
  <c r="D57" i="55" s="1"/>
  <c r="D58" i="55" a="1"/>
  <c r="D58" i="55" s="1"/>
  <c r="D59" i="55" a="1"/>
  <c r="D59" i="55" s="1"/>
  <c r="D60" i="55" a="1"/>
  <c r="D60" i="55" s="1"/>
  <c r="H60" i="55" s="1"/>
  <c r="D61" i="55" a="1"/>
  <c r="D61" i="55" s="1"/>
  <c r="D62" i="55" a="1"/>
  <c r="D62" i="55"/>
  <c r="D63" i="55" a="1"/>
  <c r="D63" i="55" s="1"/>
  <c r="D64" i="55" a="1"/>
  <c r="D64" i="55" s="1"/>
  <c r="D65" i="55" a="1"/>
  <c r="D65" i="55" s="1"/>
  <c r="D66" i="55" a="1"/>
  <c r="D66" i="55" s="1"/>
  <c r="D67" i="55" a="1"/>
  <c r="D67" i="55" s="1"/>
  <c r="G67" i="55" s="1"/>
  <c r="D68" i="55" a="1"/>
  <c r="D68" i="55" s="1"/>
  <c r="D69" i="55" a="1"/>
  <c r="D69" i="55" s="1"/>
  <c r="D70" i="55" a="1"/>
  <c r="D70" i="55" s="1"/>
  <c r="D71" i="55" a="1"/>
  <c r="D71" i="55" s="1"/>
  <c r="D72" i="55" a="1"/>
  <c r="D72" i="55" s="1"/>
  <c r="D73" i="55" a="1"/>
  <c r="D73" i="55" s="1"/>
  <c r="G73" i="55" s="1"/>
  <c r="D74" i="55" a="1"/>
  <c r="D74" i="55" s="1"/>
  <c r="D75" i="55" a="1"/>
  <c r="D75" i="55" s="1"/>
  <c r="G75" i="55" s="1"/>
  <c r="D76" i="55" a="1"/>
  <c r="D76" i="55" s="1"/>
  <c r="D77" i="55" a="1"/>
  <c r="D77" i="55" s="1"/>
  <c r="D78" i="55" a="1"/>
  <c r="D78" i="55" s="1"/>
  <c r="G78" i="55" s="1"/>
  <c r="D79" i="55" a="1"/>
  <c r="D79" i="55" s="1"/>
  <c r="D80" i="55" a="1"/>
  <c r="D80" i="55" s="1"/>
  <c r="D81" i="55" a="1"/>
  <c r="D81" i="55" s="1"/>
  <c r="D107" i="55" a="1"/>
  <c r="D107" i="55" s="1"/>
  <c r="D108" i="55" a="1"/>
  <c r="D108" i="55" s="1"/>
  <c r="D109" i="55" a="1"/>
  <c r="D109" i="55" s="1"/>
  <c r="D110" i="55" a="1"/>
  <c r="D110" i="55" s="1"/>
  <c r="D112" i="55" a="1"/>
  <c r="D112" i="55" s="1"/>
  <c r="D113" i="55" a="1"/>
  <c r="D113" i="55" s="1"/>
  <c r="D114" i="55" a="1"/>
  <c r="D114" i="55" s="1"/>
  <c r="D115" i="55" a="1"/>
  <c r="D115" i="55" s="1"/>
  <c r="H115" i="55" s="1"/>
  <c r="D116" i="55" a="1"/>
  <c r="D116" i="55" s="1"/>
  <c r="L116" i="55" s="1" a="1"/>
  <c r="L116" i="55" s="1"/>
  <c r="D117" i="55" a="1"/>
  <c r="D117" i="55" s="1"/>
  <c r="D118" i="55" a="1"/>
  <c r="D118" i="55" s="1"/>
  <c r="D119" i="55" a="1"/>
  <c r="D119" i="55" s="1"/>
  <c r="G119" i="55" s="1"/>
  <c r="D120" i="55" a="1"/>
  <c r="D120" i="55" s="1"/>
  <c r="D121" i="55" a="1"/>
  <c r="D121" i="55" s="1"/>
  <c r="D132" i="55" a="1"/>
  <c r="D132" i="55" s="1"/>
  <c r="D133" i="55" a="1"/>
  <c r="D133" i="55" s="1"/>
  <c r="D134" i="55" a="1"/>
  <c r="D134" i="55" s="1"/>
  <c r="H134" i="55" s="1"/>
  <c r="D135" i="55" a="1"/>
  <c r="D135" i="55" s="1"/>
  <c r="D136" i="55" a="1"/>
  <c r="D136" i="55" s="1"/>
  <c r="G136" i="55" s="1"/>
  <c r="D137" i="55" a="1"/>
  <c r="D137" i="55" s="1"/>
  <c r="H137" i="55" s="1"/>
  <c r="D138" i="55" a="1"/>
  <c r="D138" i="55" s="1"/>
  <c r="D139" i="55" a="1"/>
  <c r="D139" i="55" s="1"/>
  <c r="D140" i="55" a="1"/>
  <c r="D140" i="55" s="1"/>
  <c r="D141" i="55" a="1"/>
  <c r="D141" i="55" s="1"/>
  <c r="Q139"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107" i="55"/>
  <c r="I108" i="55"/>
  <c r="I109" i="55"/>
  <c r="I110" i="55"/>
  <c r="I111" i="55"/>
  <c r="I112" i="55"/>
  <c r="I113" i="55"/>
  <c r="I114" i="55"/>
  <c r="I115" i="55"/>
  <c r="I116" i="55"/>
  <c r="I117" i="55"/>
  <c r="I118" i="55"/>
  <c r="I119" i="55"/>
  <c r="I120" i="55"/>
  <c r="I121" i="55"/>
  <c r="I132" i="55"/>
  <c r="I134" i="55"/>
  <c r="I135" i="55"/>
  <c r="I136" i="55"/>
  <c r="I137" i="55"/>
  <c r="I138" i="55"/>
  <c r="I139" i="55"/>
  <c r="I140" i="55"/>
  <c r="I141" i="55"/>
  <c r="B139"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P34" i="55"/>
  <c r="S34" i="55" s="1"/>
  <c r="Q35" i="55"/>
  <c r="Q36" i="55"/>
  <c r="Q37" i="55"/>
  <c r="Q38" i="55"/>
  <c r="Q39" i="55"/>
  <c r="Q40" i="55"/>
  <c r="Q41" i="55"/>
  <c r="Q42" i="55"/>
  <c r="P42" i="55"/>
  <c r="S42" i="55" s="1"/>
  <c r="Q43" i="55"/>
  <c r="Q44" i="55"/>
  <c r="Q45" i="55"/>
  <c r="Q46" i="55"/>
  <c r="Q47" i="55"/>
  <c r="Q48" i="55"/>
  <c r="Q49" i="55"/>
  <c r="P49" i="55"/>
  <c r="Q50" i="55"/>
  <c r="Q51" i="55"/>
  <c r="Q52" i="55"/>
  <c r="Q53" i="55"/>
  <c r="Q54" i="55"/>
  <c r="Q55" i="55"/>
  <c r="Q56" i="55"/>
  <c r="Q57" i="55"/>
  <c r="Q58" i="55"/>
  <c r="Q59" i="55"/>
  <c r="Q60" i="55"/>
  <c r="Q61" i="55"/>
  <c r="P61" i="55"/>
  <c r="Q62" i="55"/>
  <c r="Q63" i="55"/>
  <c r="P63" i="55"/>
  <c r="Q64" i="55"/>
  <c r="Q65" i="55"/>
  <c r="Q66" i="55"/>
  <c r="Q67" i="55"/>
  <c r="Q68" i="55"/>
  <c r="Q69" i="55"/>
  <c r="Q70" i="55"/>
  <c r="Q71" i="55"/>
  <c r="Q72" i="55"/>
  <c r="Q73" i="55"/>
  <c r="Q74" i="55"/>
  <c r="Q75" i="55"/>
  <c r="Q76" i="55"/>
  <c r="Q77" i="55"/>
  <c r="Q78" i="55"/>
  <c r="Q79" i="55"/>
  <c r="Q80" i="55"/>
  <c r="Q81" i="55"/>
  <c r="Q107" i="55"/>
  <c r="Q108" i="55"/>
  <c r="Q109" i="55"/>
  <c r="Q110" i="55"/>
  <c r="Q111" i="55"/>
  <c r="Q112" i="55"/>
  <c r="Q113" i="55"/>
  <c r="Q114" i="55"/>
  <c r="Q115" i="55"/>
  <c r="Q116" i="55"/>
  <c r="Q117" i="55"/>
  <c r="Q118" i="55"/>
  <c r="Q119" i="55"/>
  <c r="Q120" i="55"/>
  <c r="Q121" i="55"/>
  <c r="Q132" i="55"/>
  <c r="Q133" i="55"/>
  <c r="Q134" i="55"/>
  <c r="Q135" i="55"/>
  <c r="Q136" i="55"/>
  <c r="P136" i="55"/>
  <c r="S136" i="55"/>
  <c r="Q137" i="55"/>
  <c r="Q138" i="55"/>
  <c r="Q140" i="55"/>
  <c r="Q141" i="55"/>
  <c r="Q8" i="55"/>
  <c r="Q7" i="55"/>
  <c r="P13" i="55"/>
  <c r="R13" i="55" s="1"/>
  <c r="P18" i="55"/>
  <c r="S18" i="55" s="1"/>
  <c r="P19" i="55"/>
  <c r="P20" i="55"/>
  <c r="S20" i="55" s="1"/>
  <c r="P21" i="55"/>
  <c r="P22" i="55"/>
  <c r="S22" i="55" s="1"/>
  <c r="P32" i="55"/>
  <c r="P35" i="55"/>
  <c r="R35" i="55" s="1"/>
  <c r="P39" i="55"/>
  <c r="J39" i="55"/>
  <c r="R39" i="55" s="1"/>
  <c r="P51" i="55"/>
  <c r="P55" i="55"/>
  <c r="S55" i="55" s="1"/>
  <c r="T55" i="55" s="1"/>
  <c r="P60" i="55"/>
  <c r="P64" i="55"/>
  <c r="P80" i="55"/>
  <c r="S80" i="55" s="1"/>
  <c r="J9" i="55"/>
  <c r="R9" i="55" s="1"/>
  <c r="T9" i="55" s="1"/>
  <c r="J10" i="55"/>
  <c r="J11" i="55"/>
  <c r="J12" i="55"/>
  <c r="K12" i="55" s="1" a="1"/>
  <c r="K12" i="55" s="1"/>
  <c r="J13" i="55"/>
  <c r="J14" i="55"/>
  <c r="J15" i="55"/>
  <c r="R15" i="55" s="1"/>
  <c r="J18" i="55"/>
  <c r="J19" i="55"/>
  <c r="J20" i="55"/>
  <c r="J21" i="55"/>
  <c r="J22" i="55"/>
  <c r="J23" i="55"/>
  <c r="J24" i="55"/>
  <c r="J25" i="55"/>
  <c r="J26" i="55"/>
  <c r="J27" i="55"/>
  <c r="R27" i="55" s="1"/>
  <c r="T27" i="55" s="1"/>
  <c r="J28" i="55"/>
  <c r="J29" i="55"/>
  <c r="J30" i="55"/>
  <c r="R30" i="55" s="1"/>
  <c r="T30" i="55" s="1"/>
  <c r="J31" i="55"/>
  <c r="J32" i="55"/>
  <c r="J33" i="55"/>
  <c r="J34" i="55"/>
  <c r="J35" i="55"/>
  <c r="J36" i="55"/>
  <c r="J37" i="55"/>
  <c r="J38" i="55"/>
  <c r="J40" i="55"/>
  <c r="J41" i="55"/>
  <c r="J42" i="55"/>
  <c r="J43" i="55"/>
  <c r="J44" i="55"/>
  <c r="R44" i="55" s="1"/>
  <c r="T44" i="55" s="1"/>
  <c r="J45" i="55"/>
  <c r="J46" i="55"/>
  <c r="J47" i="55"/>
  <c r="J48" i="55"/>
  <c r="J49" i="55"/>
  <c r="J50" i="55"/>
  <c r="J51" i="55"/>
  <c r="J52" i="55"/>
  <c r="J53" i="55"/>
  <c r="R53" i="55" s="1"/>
  <c r="J54" i="55"/>
  <c r="J55" i="55"/>
  <c r="J56" i="55"/>
  <c r="J57" i="55"/>
  <c r="J58" i="55"/>
  <c r="J59" i="55"/>
  <c r="J60" i="55"/>
  <c r="R60" i="55" s="1"/>
  <c r="J61" i="55"/>
  <c r="J62" i="55"/>
  <c r="R62" i="55" s="1"/>
  <c r="J63" i="55"/>
  <c r="J64" i="55"/>
  <c r="J65" i="55"/>
  <c r="R65" i="55" s="1"/>
  <c r="J66" i="55"/>
  <c r="R66" i="55" s="1"/>
  <c r="T66" i="55" s="1"/>
  <c r="J67" i="55"/>
  <c r="J68" i="55"/>
  <c r="J69" i="55"/>
  <c r="J70" i="55"/>
  <c r="J71" i="55"/>
  <c r="J72" i="55"/>
  <c r="J73" i="55"/>
  <c r="J74" i="55"/>
  <c r="J75" i="55"/>
  <c r="J76" i="55"/>
  <c r="J77" i="55"/>
  <c r="J78" i="55"/>
  <c r="J79" i="55"/>
  <c r="J80" i="55"/>
  <c r="J81" i="55"/>
  <c r="R81" i="55" s="1"/>
  <c r="J107" i="55"/>
  <c r="J108" i="55"/>
  <c r="J109" i="55"/>
  <c r="J110" i="55"/>
  <c r="J111" i="55"/>
  <c r="J112" i="55"/>
  <c r="J113" i="55"/>
  <c r="J114" i="55"/>
  <c r="J115" i="55"/>
  <c r="J116" i="55"/>
  <c r="J117" i="55"/>
  <c r="J118" i="55"/>
  <c r="J119" i="55"/>
  <c r="R119" i="55" s="1"/>
  <c r="J120" i="55"/>
  <c r="J121" i="55"/>
  <c r="J132" i="55"/>
  <c r="J133" i="55"/>
  <c r="J134" i="55"/>
  <c r="J135" i="55"/>
  <c r="J136" i="55"/>
  <c r="J137" i="55"/>
  <c r="J138" i="55"/>
  <c r="J139" i="55"/>
  <c r="J140" i="55"/>
  <c r="J141" i="55"/>
  <c r="J8" i="55"/>
  <c r="R8" i="55" s="1"/>
  <c r="T8" i="55" s="1"/>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107" i="55"/>
  <c r="E108" i="55"/>
  <c r="E109" i="55"/>
  <c r="E110" i="55"/>
  <c r="E111" i="55"/>
  <c r="E112" i="55"/>
  <c r="E113" i="55"/>
  <c r="E114" i="55"/>
  <c r="E115" i="55"/>
  <c r="E116" i="55"/>
  <c r="E117" i="55"/>
  <c r="E118" i="55"/>
  <c r="E119" i="55"/>
  <c r="E120" i="55"/>
  <c r="E121" i="55"/>
  <c r="E132" i="55"/>
  <c r="E133" i="55"/>
  <c r="E134" i="55"/>
  <c r="E135" i="55"/>
  <c r="E136" i="55"/>
  <c r="E137" i="55"/>
  <c r="E138" i="55"/>
  <c r="E139" i="55"/>
  <c r="E140" i="55"/>
  <c r="E141" i="55"/>
  <c r="E8" i="55"/>
  <c r="E7" i="55"/>
  <c r="D8" i="55" a="1"/>
  <c r="D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107" i="55"/>
  <c r="B108" i="55"/>
  <c r="B109" i="55"/>
  <c r="B110" i="55"/>
  <c r="B111" i="55"/>
  <c r="B112" i="55"/>
  <c r="B113" i="55"/>
  <c r="B114" i="55"/>
  <c r="B115" i="55"/>
  <c r="B116" i="55"/>
  <c r="B117" i="55"/>
  <c r="B118" i="55"/>
  <c r="B119" i="55"/>
  <c r="B120" i="55"/>
  <c r="B121" i="55"/>
  <c r="B132" i="55"/>
  <c r="B133" i="55"/>
  <c r="B134" i="55"/>
  <c r="B135" i="55"/>
  <c r="B136" i="55"/>
  <c r="B137" i="55"/>
  <c r="B138" i="55"/>
  <c r="B140" i="55"/>
  <c r="B141" i="55"/>
  <c r="B9" i="55"/>
  <c r="B10" i="55"/>
  <c r="B11" i="55"/>
  <c r="B12" i="55"/>
  <c r="B8" i="55"/>
  <c r="T176" i="53"/>
  <c r="N56" i="55" s="1" a="1"/>
  <c r="N56" i="55" s="1"/>
  <c r="O56" i="55" s="1"/>
  <c r="K176" i="53"/>
  <c r="F141" i="55"/>
  <c r="C141" i="55"/>
  <c r="F140" i="55"/>
  <c r="C140" i="55"/>
  <c r="F139" i="55"/>
  <c r="C139" i="55"/>
  <c r="C7" i="55"/>
  <c r="F14" i="55"/>
  <c r="F16" i="55"/>
  <c r="F22" i="55"/>
  <c r="F24" i="55"/>
  <c r="F30" i="55"/>
  <c r="F32" i="55"/>
  <c r="F38" i="55"/>
  <c r="F40" i="55"/>
  <c r="F46" i="55"/>
  <c r="F48" i="55"/>
  <c r="F54" i="55"/>
  <c r="F56" i="55"/>
  <c r="F62" i="55"/>
  <c r="F64" i="55"/>
  <c r="F70" i="55"/>
  <c r="F72" i="55"/>
  <c r="F78" i="55"/>
  <c r="F80" i="55"/>
  <c r="F111" i="55"/>
  <c r="F113" i="55"/>
  <c r="F119" i="55"/>
  <c r="F121" i="55"/>
  <c r="F137"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107" i="55"/>
  <c r="F108" i="55"/>
  <c r="F109" i="55"/>
  <c r="F110" i="55"/>
  <c r="F112" i="55"/>
  <c r="F114" i="55"/>
  <c r="F115" i="55"/>
  <c r="F116" i="55"/>
  <c r="F117" i="55"/>
  <c r="F118" i="55"/>
  <c r="F120" i="55"/>
  <c r="F132" i="55"/>
  <c r="F133" i="55"/>
  <c r="F134" i="55"/>
  <c r="F135" i="55"/>
  <c r="F136" i="55"/>
  <c r="F138"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107" i="55"/>
  <c r="C108" i="55"/>
  <c r="C109" i="55"/>
  <c r="C110" i="55"/>
  <c r="C111" i="55"/>
  <c r="C112" i="55"/>
  <c r="C113" i="55"/>
  <c r="C114" i="55"/>
  <c r="C115" i="55"/>
  <c r="C116" i="55"/>
  <c r="C117" i="55"/>
  <c r="C118" i="55"/>
  <c r="C119" i="55"/>
  <c r="C120" i="55"/>
  <c r="C121" i="55"/>
  <c r="C132" i="55"/>
  <c r="C133" i="55"/>
  <c r="C134" i="55"/>
  <c r="C135" i="55"/>
  <c r="C136" i="55"/>
  <c r="C137" i="55"/>
  <c r="C138" i="55"/>
  <c r="C9" i="55"/>
  <c r="C10" i="55"/>
  <c r="C11" i="55"/>
  <c r="C12" i="55"/>
  <c r="C13" i="55"/>
  <c r="C14" i="55"/>
  <c r="C8" i="55"/>
  <c r="I13" i="52"/>
  <c r="I12" i="52"/>
  <c r="I11" i="52"/>
  <c r="I10" i="52"/>
  <c r="I9" i="52"/>
  <c r="I8" i="52"/>
  <c r="I7" i="52"/>
  <c r="I6" i="52"/>
  <c r="I5" i="52"/>
  <c r="I4" i="52"/>
  <c r="K21" i="59"/>
  <c r="I22" i="59"/>
  <c r="C21" i="59"/>
  <c r="N21" i="59" s="1"/>
  <c r="C41" i="59"/>
  <c r="L41" i="59"/>
  <c r="AE8" i="53"/>
  <c r="X8" i="53"/>
  <c r="B33" i="59"/>
  <c r="V33" i="59" s="1"/>
  <c r="I19" i="59"/>
  <c r="K41" i="59"/>
  <c r="J41" i="59"/>
  <c r="K40" i="59"/>
  <c r="J40" i="59"/>
  <c r="K39" i="59"/>
  <c r="J39" i="59"/>
  <c r="K38" i="59"/>
  <c r="J38" i="59"/>
  <c r="K37" i="59"/>
  <c r="J37" i="59"/>
  <c r="K36" i="59"/>
  <c r="J36" i="59"/>
  <c r="K35" i="59"/>
  <c r="J35" i="59"/>
  <c r="J34" i="59"/>
  <c r="J42" i="59" s="1"/>
  <c r="K33" i="59"/>
  <c r="J33" i="59"/>
  <c r="K32" i="59"/>
  <c r="J32" i="59"/>
  <c r="K27" i="59"/>
  <c r="J27" i="59"/>
  <c r="K26" i="59"/>
  <c r="J26" i="59"/>
  <c r="K25" i="59"/>
  <c r="J25" i="59"/>
  <c r="K24" i="59"/>
  <c r="J24" i="59"/>
  <c r="K23" i="59"/>
  <c r="K28" i="59" s="1"/>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76" i="53"/>
  <c r="AC176" i="53"/>
  <c r="AB176" i="53"/>
  <c r="AA176" i="53"/>
  <c r="W176" i="53"/>
  <c r="V176" i="53"/>
  <c r="U176" i="53"/>
  <c r="L176" i="53"/>
  <c r="J147" i="55" s="1"/>
  <c r="P27" i="59"/>
  <c r="H32" i="59"/>
  <c r="H42" i="59" s="1"/>
  <c r="C33" i="59"/>
  <c r="N33" i="59" s="1"/>
  <c r="C34" i="59"/>
  <c r="L34" i="59" s="1"/>
  <c r="C35" i="59"/>
  <c r="N35" i="59" s="1"/>
  <c r="C36" i="59"/>
  <c r="L36" i="59" s="1"/>
  <c r="C37" i="59"/>
  <c r="N37" i="59" s="1"/>
  <c r="C38" i="59"/>
  <c r="N38" i="59" s="1"/>
  <c r="C39" i="59"/>
  <c r="L39" i="59" s="1"/>
  <c r="C40" i="59"/>
  <c r="L40" i="59" s="1"/>
  <c r="C32" i="59"/>
  <c r="N32" i="59" s="1"/>
  <c r="C19" i="59"/>
  <c r="L19" i="59" s="1"/>
  <c r="C20" i="59"/>
  <c r="N20" i="59" s="1"/>
  <c r="C22" i="59"/>
  <c r="L22" i="59" s="1"/>
  <c r="C23" i="59"/>
  <c r="L23" i="59" s="1"/>
  <c r="C24" i="59"/>
  <c r="L24" i="59" s="1"/>
  <c r="C25" i="59"/>
  <c r="N25" i="59"/>
  <c r="C26" i="59"/>
  <c r="N26" i="59" s="1"/>
  <c r="C27" i="59"/>
  <c r="L27" i="59" s="1"/>
  <c r="B32" i="59"/>
  <c r="V32" i="59" s="1"/>
  <c r="B18" i="59"/>
  <c r="T18" i="59" s="1"/>
  <c r="Q19" i="59"/>
  <c r="Q20" i="59"/>
  <c r="Q21" i="59"/>
  <c r="Q22" i="59"/>
  <c r="Q23" i="59"/>
  <c r="Q24" i="59"/>
  <c r="Q25" i="59"/>
  <c r="Q26" i="59"/>
  <c r="Q27" i="59"/>
  <c r="Q18" i="59"/>
  <c r="P19" i="59"/>
  <c r="P20" i="59"/>
  <c r="P28" i="59" s="1"/>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8" i="59" s="1"/>
  <c r="E23" i="59"/>
  <c r="E24" i="59"/>
  <c r="E25" i="59"/>
  <c r="E26" i="59"/>
  <c r="E27" i="59"/>
  <c r="E18" i="59"/>
  <c r="B19" i="59"/>
  <c r="F19" i="59" s="1"/>
  <c r="B22" i="59"/>
  <c r="F22" i="59" s="1"/>
  <c r="B20" i="59"/>
  <c r="B21" i="59"/>
  <c r="F21" i="59" s="1"/>
  <c r="B23" i="59"/>
  <c r="F23" i="59" s="1"/>
  <c r="B24" i="59"/>
  <c r="T24" i="59" s="1"/>
  <c r="B25" i="59"/>
  <c r="V25" i="59" s="1"/>
  <c r="B26" i="59"/>
  <c r="V26" i="59" s="1"/>
  <c r="B27" i="59"/>
  <c r="F27" i="59" s="1"/>
  <c r="E33" i="59"/>
  <c r="E32" i="59"/>
  <c r="E34" i="59"/>
  <c r="E35" i="59"/>
  <c r="E36" i="59"/>
  <c r="E37" i="59"/>
  <c r="E38" i="59"/>
  <c r="E39" i="59"/>
  <c r="E40" i="59"/>
  <c r="E41" i="59"/>
  <c r="Q33" i="59"/>
  <c r="Q34" i="59"/>
  <c r="Q35" i="59"/>
  <c r="Q36" i="59"/>
  <c r="Q42" i="59" s="1"/>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B34" i="59"/>
  <c r="T34" i="59" s="1"/>
  <c r="B35" i="59"/>
  <c r="F35" i="59" s="1"/>
  <c r="B36" i="59"/>
  <c r="V36" i="59" s="1"/>
  <c r="B37" i="59"/>
  <c r="F37" i="59"/>
  <c r="B38" i="59"/>
  <c r="V38" i="59" s="1"/>
  <c r="B39" i="59"/>
  <c r="V39" i="59" s="1"/>
  <c r="B40" i="59"/>
  <c r="T40" i="59" s="1"/>
  <c r="B41" i="59"/>
  <c r="V41" i="59" s="1"/>
  <c r="X6" i="53"/>
  <c r="X170" i="53"/>
  <c r="X166" i="53"/>
  <c r="X165" i="53"/>
  <c r="X164" i="53"/>
  <c r="X163" i="53"/>
  <c r="X162" i="53"/>
  <c r="X161" i="53"/>
  <c r="X160" i="53"/>
  <c r="X159" i="53"/>
  <c r="X158" i="53"/>
  <c r="X157" i="53"/>
  <c r="X156" i="53"/>
  <c r="X155" i="53"/>
  <c r="X154" i="53"/>
  <c r="X153" i="53"/>
  <c r="X152" i="53"/>
  <c r="X151" i="53"/>
  <c r="X150" i="53"/>
  <c r="X149" i="53"/>
  <c r="X148" i="53"/>
  <c r="X147" i="53"/>
  <c r="X146" i="53"/>
  <c r="X145" i="53"/>
  <c r="X144" i="53"/>
  <c r="X143" i="53"/>
  <c r="X142" i="53"/>
  <c r="X141" i="53"/>
  <c r="X140" i="53"/>
  <c r="X139" i="53"/>
  <c r="X138" i="53"/>
  <c r="X137" i="53"/>
  <c r="X136" i="53"/>
  <c r="X135" i="53"/>
  <c r="X134" i="53"/>
  <c r="X133" i="53"/>
  <c r="X132" i="53"/>
  <c r="X131" i="53"/>
  <c r="X130" i="53"/>
  <c r="X129" i="53"/>
  <c r="X128" i="53"/>
  <c r="X127" i="53"/>
  <c r="X126" i="53"/>
  <c r="X125" i="53"/>
  <c r="X124" i="53"/>
  <c r="X123" i="53"/>
  <c r="X122" i="53"/>
  <c r="X121" i="53"/>
  <c r="X120" i="53"/>
  <c r="X119" i="53"/>
  <c r="X118" i="53"/>
  <c r="X117" i="53"/>
  <c r="X116" i="53"/>
  <c r="X115" i="53"/>
  <c r="X114" i="53"/>
  <c r="X113" i="53"/>
  <c r="X112" i="53"/>
  <c r="X111" i="53"/>
  <c r="X110" i="53"/>
  <c r="X109" i="53"/>
  <c r="X108" i="53"/>
  <c r="X107" i="53"/>
  <c r="X106" i="53"/>
  <c r="X105" i="53"/>
  <c r="X104" i="53"/>
  <c r="X103" i="53"/>
  <c r="X102" i="53"/>
  <c r="X101" i="53"/>
  <c r="X100" i="53"/>
  <c r="X99" i="53"/>
  <c r="X98" i="53"/>
  <c r="X97" i="53"/>
  <c r="X96" i="53"/>
  <c r="X95" i="53"/>
  <c r="X94" i="53"/>
  <c r="X93" i="53"/>
  <c r="X92" i="53"/>
  <c r="X91" i="53"/>
  <c r="X90" i="53"/>
  <c r="X89" i="53"/>
  <c r="X88" i="53"/>
  <c r="X87" i="53"/>
  <c r="X86" i="53"/>
  <c r="X85" i="53"/>
  <c r="X84" i="53"/>
  <c r="X83" i="53"/>
  <c r="X81" i="53"/>
  <c r="X80" i="53"/>
  <c r="X79" i="53"/>
  <c r="X78" i="53"/>
  <c r="X77" i="53"/>
  <c r="G7" i="59"/>
  <c r="M7" i="59" s="1"/>
  <c r="X76" i="53"/>
  <c r="X75" i="53"/>
  <c r="X74" i="53"/>
  <c r="X73" i="53"/>
  <c r="X72" i="53"/>
  <c r="X71" i="53"/>
  <c r="X70" i="53"/>
  <c r="X69" i="53"/>
  <c r="X68" i="53"/>
  <c r="X67" i="53"/>
  <c r="X66" i="53"/>
  <c r="X64" i="53"/>
  <c r="X63" i="53"/>
  <c r="X62" i="53"/>
  <c r="X61" i="53"/>
  <c r="X60" i="53"/>
  <c r="X59" i="53"/>
  <c r="X58" i="53"/>
  <c r="X57" i="53"/>
  <c r="X56" i="53"/>
  <c r="X55" i="53"/>
  <c r="X54" i="53"/>
  <c r="X53" i="53"/>
  <c r="X52" i="53"/>
  <c r="X50" i="53"/>
  <c r="X49" i="53"/>
  <c r="X48" i="53"/>
  <c r="X47" i="53"/>
  <c r="X46" i="53"/>
  <c r="X45" i="53"/>
  <c r="X44" i="53"/>
  <c r="X42" i="53"/>
  <c r="X41" i="53"/>
  <c r="X40" i="53"/>
  <c r="X39" i="53"/>
  <c r="X38" i="53"/>
  <c r="X37" i="53"/>
  <c r="X36" i="53"/>
  <c r="X35" i="53"/>
  <c r="X34" i="53"/>
  <c r="X33" i="53"/>
  <c r="X32" i="53"/>
  <c r="X31" i="53"/>
  <c r="X30" i="53"/>
  <c r="X29" i="53"/>
  <c r="X28" i="53"/>
  <c r="X27" i="53"/>
  <c r="X26" i="53"/>
  <c r="X24" i="53"/>
  <c r="G20" i="59"/>
  <c r="M20" i="59" s="1"/>
  <c r="X23" i="53"/>
  <c r="X22" i="53"/>
  <c r="X21" i="53"/>
  <c r="X20" i="53"/>
  <c r="X19" i="53"/>
  <c r="X18" i="53"/>
  <c r="X17" i="53"/>
  <c r="X15" i="53"/>
  <c r="X14" i="53"/>
  <c r="X12" i="53"/>
  <c r="X11" i="53"/>
  <c r="X10" i="53"/>
  <c r="X9" i="53"/>
  <c r="X7" i="53"/>
  <c r="G41" i="59"/>
  <c r="M41" i="59" s="1"/>
  <c r="P137" i="55"/>
  <c r="P118" i="55"/>
  <c r="P117" i="55"/>
  <c r="P56" i="55"/>
  <c r="S56" i="55" s="1"/>
  <c r="P53" i="55"/>
  <c r="O40" i="59"/>
  <c r="U40" i="59" s="1"/>
  <c r="P113" i="55"/>
  <c r="P76" i="55"/>
  <c r="S76" i="55" s="1"/>
  <c r="P72" i="55"/>
  <c r="R72" i="55" s="1"/>
  <c r="P11" i="55"/>
  <c r="S11" i="55" s="1"/>
  <c r="P141" i="55"/>
  <c r="S141" i="55" s="1"/>
  <c r="P120" i="55"/>
  <c r="S120" i="55" s="1"/>
  <c r="T120" i="55" s="1"/>
  <c r="AE170" i="53"/>
  <c r="AE166" i="53"/>
  <c r="AE165" i="53"/>
  <c r="AE164" i="53"/>
  <c r="AE163" i="53"/>
  <c r="AE162" i="53"/>
  <c r="AE161" i="53"/>
  <c r="AE160" i="53"/>
  <c r="AE159" i="53"/>
  <c r="AE158" i="53"/>
  <c r="AE157" i="53"/>
  <c r="AE156" i="53"/>
  <c r="AE155" i="53"/>
  <c r="AE154" i="53"/>
  <c r="AE153" i="53"/>
  <c r="AE152" i="53"/>
  <c r="AE151" i="53"/>
  <c r="AE150" i="53"/>
  <c r="AE149" i="53"/>
  <c r="AE148" i="53"/>
  <c r="AE147" i="53"/>
  <c r="AE146" i="53"/>
  <c r="AE145" i="53"/>
  <c r="AE144" i="53"/>
  <c r="AE143" i="53"/>
  <c r="AE142" i="53"/>
  <c r="AE141" i="53"/>
  <c r="AE140" i="53"/>
  <c r="AE139" i="53"/>
  <c r="AE138" i="53"/>
  <c r="AE137" i="53"/>
  <c r="AE136" i="53"/>
  <c r="AE135" i="53"/>
  <c r="AE134" i="53"/>
  <c r="AE132" i="53"/>
  <c r="AE131" i="53"/>
  <c r="AE130" i="53"/>
  <c r="AE129" i="53"/>
  <c r="AE128" i="53"/>
  <c r="AE127" i="53"/>
  <c r="AE126" i="53"/>
  <c r="AE125" i="53"/>
  <c r="AE124" i="53"/>
  <c r="AE123" i="53"/>
  <c r="AE122" i="53"/>
  <c r="AE121" i="53"/>
  <c r="AE120" i="53"/>
  <c r="AE118" i="53"/>
  <c r="AE117" i="53"/>
  <c r="AE116" i="53"/>
  <c r="AE115" i="53"/>
  <c r="AE114" i="53"/>
  <c r="AE113" i="53"/>
  <c r="AE112" i="53"/>
  <c r="AE111" i="53"/>
  <c r="AE110" i="53"/>
  <c r="AE109" i="53"/>
  <c r="AE108" i="53"/>
  <c r="AE107" i="53"/>
  <c r="AE106" i="53"/>
  <c r="AE105" i="53"/>
  <c r="AE103" i="53"/>
  <c r="AE102" i="53"/>
  <c r="AE101" i="53"/>
  <c r="AE100" i="53"/>
  <c r="AE99" i="53"/>
  <c r="AE98" i="53"/>
  <c r="AE97" i="53"/>
  <c r="AE96" i="53"/>
  <c r="AE95" i="53"/>
  <c r="AE94" i="53"/>
  <c r="AE93" i="53"/>
  <c r="AE92" i="53"/>
  <c r="AE91" i="53"/>
  <c r="AE90" i="53"/>
  <c r="AE89" i="53"/>
  <c r="AE88" i="53"/>
  <c r="AE87" i="53"/>
  <c r="AE86" i="53"/>
  <c r="AE85" i="53"/>
  <c r="AE84" i="53"/>
  <c r="AE82" i="53"/>
  <c r="AE81" i="53"/>
  <c r="AE80" i="53"/>
  <c r="AE79" i="53"/>
  <c r="P107" i="55"/>
  <c r="S107" i="55" s="1"/>
  <c r="AE77" i="53"/>
  <c r="AE75" i="53"/>
  <c r="AE74" i="53"/>
  <c r="AE70" i="53"/>
  <c r="AE69" i="53"/>
  <c r="AE68" i="53"/>
  <c r="AE67" i="53"/>
  <c r="O23" i="59"/>
  <c r="U23" i="59"/>
  <c r="AE63" i="53"/>
  <c r="AE62" i="53"/>
  <c r="AE61" i="53"/>
  <c r="AE60" i="53"/>
  <c r="O21" i="59"/>
  <c r="U21" i="59"/>
  <c r="AE57" i="53"/>
  <c r="AE56" i="53"/>
  <c r="AE55" i="53"/>
  <c r="AE54" i="53"/>
  <c r="AE53" i="53"/>
  <c r="AE52" i="53"/>
  <c r="AE51" i="53"/>
  <c r="AE50" i="53"/>
  <c r="AE48" i="53"/>
  <c r="AE47" i="53"/>
  <c r="AE46" i="53"/>
  <c r="P46" i="55"/>
  <c r="AE42" i="53"/>
  <c r="AE41" i="53"/>
  <c r="AE40" i="53"/>
  <c r="AE39" i="53"/>
  <c r="AE38" i="53"/>
  <c r="AE37" i="53"/>
  <c r="AE36" i="53"/>
  <c r="AE35" i="53"/>
  <c r="AE34" i="53"/>
  <c r="AE33" i="53"/>
  <c r="AE32" i="53"/>
  <c r="AE29" i="53"/>
  <c r="P29" i="55"/>
  <c r="S29" i="55"/>
  <c r="AE27" i="53"/>
  <c r="AE26" i="53"/>
  <c r="AE25" i="53"/>
  <c r="AE24" i="53"/>
  <c r="AE23" i="53"/>
  <c r="P23" i="55"/>
  <c r="AE22" i="53"/>
  <c r="AE21" i="53"/>
  <c r="AE20" i="53"/>
  <c r="AE19" i="53"/>
  <c r="AE18" i="53"/>
  <c r="AE17" i="53"/>
  <c r="AE15" i="53"/>
  <c r="AE13" i="53"/>
  <c r="AE12" i="53"/>
  <c r="AE10" i="53"/>
  <c r="AE7" i="53"/>
  <c r="AE6" i="53"/>
  <c r="C7" i="26"/>
  <c r="C9" i="26"/>
  <c r="D9" i="26"/>
  <c r="E9" i="26"/>
  <c r="F9" i="26"/>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H14" i="26" s="1"/>
  <c r="L12" i="26"/>
  <c r="AE104" i="53"/>
  <c r="AE73" i="53"/>
  <c r="O41" i="59"/>
  <c r="U41" i="59"/>
  <c r="AE16" i="53"/>
  <c r="AE28" i="53"/>
  <c r="F7" i="55"/>
  <c r="AE78" i="53"/>
  <c r="O25" i="59"/>
  <c r="U25" i="59"/>
  <c r="P8" i="55"/>
  <c r="S8" i="55" s="1"/>
  <c r="P70" i="55"/>
  <c r="S70" i="55" s="1"/>
  <c r="T70" i="55" s="1"/>
  <c r="G25" i="59"/>
  <c r="M25" i="59" s="1"/>
  <c r="P58" i="55"/>
  <c r="S58" i="55" s="1"/>
  <c r="P75" i="55"/>
  <c r="S75" i="55" s="1"/>
  <c r="G27" i="59"/>
  <c r="M27" i="59" s="1"/>
  <c r="P81" i="55"/>
  <c r="S81" i="55" s="1"/>
  <c r="P110" i="55"/>
  <c r="S110" i="55"/>
  <c r="P54" i="55"/>
  <c r="AE65" i="53"/>
  <c r="P134" i="55"/>
  <c r="S134" i="55" s="1"/>
  <c r="P68" i="55"/>
  <c r="AE72" i="53"/>
  <c r="P31" i="55"/>
  <c r="S31" i="55" s="1"/>
  <c r="O27" i="59"/>
  <c r="U27" i="59" s="1"/>
  <c r="AE64" i="53"/>
  <c r="G21" i="59"/>
  <c r="M21" i="59" s="1"/>
  <c r="P36" i="55"/>
  <c r="S36" i="55" s="1"/>
  <c r="O13" i="59"/>
  <c r="U13" i="59" s="1"/>
  <c r="P116" i="55"/>
  <c r="P41" i="55"/>
  <c r="R41" i="55" s="1"/>
  <c r="P109" i="55"/>
  <c r="S109" i="55"/>
  <c r="P79" i="55"/>
  <c r="AE76" i="53"/>
  <c r="O26" i="59"/>
  <c r="U26" i="59" s="1"/>
  <c r="P71" i="55"/>
  <c r="O6" i="59"/>
  <c r="U6" i="59" s="1"/>
  <c r="G18" i="59"/>
  <c r="M18" i="59" s="1"/>
  <c r="AE14" i="53"/>
  <c r="P66" i="55"/>
  <c r="AE30" i="53"/>
  <c r="AE119" i="53"/>
  <c r="P52" i="55"/>
  <c r="X82" i="53"/>
  <c r="G38" i="59"/>
  <c r="M38" i="59" s="1"/>
  <c r="P26" i="55"/>
  <c r="S26" i="55" s="1"/>
  <c r="AE66" i="53"/>
  <c r="P69" i="55"/>
  <c r="X13" i="53"/>
  <c r="S176" i="53"/>
  <c r="G22" i="59"/>
  <c r="M22" i="59" s="1"/>
  <c r="P40" i="55"/>
  <c r="R40" i="55" s="1"/>
  <c r="T40" i="55" s="1"/>
  <c r="P7" i="55"/>
  <c r="AE9" i="53"/>
  <c r="AE83" i="53"/>
  <c r="P111" i="55"/>
  <c r="S111" i="55" s="1"/>
  <c r="AE133" i="53"/>
  <c r="P114" i="55"/>
  <c r="S114" i="55"/>
  <c r="G19" i="59"/>
  <c r="M19" i="59" s="1"/>
  <c r="P65" i="55"/>
  <c r="O9" i="59"/>
  <c r="U9" i="59" s="1"/>
  <c r="O37" i="59"/>
  <c r="U37" i="59" s="1"/>
  <c r="O39" i="59"/>
  <c r="U39" i="59" s="1"/>
  <c r="AE49" i="53"/>
  <c r="P50" i="55"/>
  <c r="S50" i="55" s="1"/>
  <c r="P15" i="55"/>
  <c r="S15" i="55" s="1"/>
  <c r="P112" i="55"/>
  <c r="S112" i="55" s="1"/>
  <c r="P48" i="55"/>
  <c r="S48" i="55" s="1"/>
  <c r="P44" i="55"/>
  <c r="AE11" i="53"/>
  <c r="G24" i="59"/>
  <c r="M24" i="59"/>
  <c r="O36" i="59"/>
  <c r="U36" i="59" s="1"/>
  <c r="O20" i="59"/>
  <c r="U20" i="59" s="1"/>
  <c r="P24" i="55"/>
  <c r="S24" i="55" s="1"/>
  <c r="AE71" i="53"/>
  <c r="P74" i="55"/>
  <c r="S74" i="55"/>
  <c r="P33" i="55"/>
  <c r="AE43" i="53"/>
  <c r="P25" i="55"/>
  <c r="S25" i="55" s="1"/>
  <c r="O18" i="59"/>
  <c r="U18" i="59" s="1"/>
  <c r="AE59" i="53"/>
  <c r="P10" i="55"/>
  <c r="G35" i="59"/>
  <c r="M35" i="59" s="1"/>
  <c r="O35" i="59"/>
  <c r="U35" i="59" s="1"/>
  <c r="P78" i="55"/>
  <c r="S78" i="55" s="1"/>
  <c r="O12" i="59"/>
  <c r="U12" i="59"/>
  <c r="P14" i="55"/>
  <c r="O5" i="59"/>
  <c r="U5" i="59" s="1"/>
  <c r="O24" i="59"/>
  <c r="U24" i="59" s="1"/>
  <c r="P108" i="55"/>
  <c r="S108" i="55" s="1"/>
  <c r="P27" i="55"/>
  <c r="O19" i="59"/>
  <c r="U19" i="59" s="1"/>
  <c r="G11" i="59"/>
  <c r="M11" i="59" s="1"/>
  <c r="P28" i="55"/>
  <c r="P121" i="55"/>
  <c r="S121" i="55" s="1"/>
  <c r="P139" i="55"/>
  <c r="G12" i="59"/>
  <c r="M12" i="59" s="1"/>
  <c r="X65" i="53"/>
  <c r="G23" i="59"/>
  <c r="M23" i="59" s="1"/>
  <c r="O10" i="59"/>
  <c r="U10" i="59" s="1"/>
  <c r="P132" i="55"/>
  <c r="S132" i="55" s="1"/>
  <c r="X25" i="53"/>
  <c r="G10" i="59"/>
  <c r="M10" i="59" s="1"/>
  <c r="G13" i="59"/>
  <c r="M13" i="59" s="1"/>
  <c r="N13" i="59"/>
  <c r="P9" i="55"/>
  <c r="S9" i="55" s="1"/>
  <c r="O32" i="59"/>
  <c r="U32" i="59" s="1"/>
  <c r="O33" i="59"/>
  <c r="O34" i="59"/>
  <c r="U34" i="59" s="1"/>
  <c r="O4" i="59"/>
  <c r="U4" i="59" s="1"/>
  <c r="P67" i="55"/>
  <c r="O38" i="59"/>
  <c r="U38" i="59" s="1"/>
  <c r="P43" i="55"/>
  <c r="G26" i="59"/>
  <c r="M26" i="59" s="1"/>
  <c r="Z2" i="53"/>
  <c r="P16" i="55"/>
  <c r="P62" i="55"/>
  <c r="P47" i="55"/>
  <c r="P138" i="55"/>
  <c r="S138" i="55" s="1"/>
  <c r="O22" i="59"/>
  <c r="U22" i="59"/>
  <c r="G5" i="59"/>
  <c r="M5" i="59" s="1"/>
  <c r="X51" i="53"/>
  <c r="G39" i="59"/>
  <c r="M39" i="59"/>
  <c r="G34" i="59"/>
  <c r="M34" i="59" s="1"/>
  <c r="S2" i="53"/>
  <c r="P37" i="55"/>
  <c r="S37" i="55" s="1"/>
  <c r="P133" i="55"/>
  <c r="G40" i="59"/>
  <c r="M40" i="59"/>
  <c r="O7" i="59"/>
  <c r="U7" i="59" s="1"/>
  <c r="G6" i="59"/>
  <c r="M6" i="59" s="1"/>
  <c r="Z176" i="53"/>
  <c r="AE2" i="53" s="1"/>
  <c r="G33" i="59"/>
  <c r="M33" i="59" s="1"/>
  <c r="P115" i="55"/>
  <c r="S115" i="55" s="1"/>
  <c r="O8" i="59"/>
  <c r="U8" i="59"/>
  <c r="G32" i="59"/>
  <c r="M32" i="59" s="1"/>
  <c r="P59" i="55"/>
  <c r="P119" i="55"/>
  <c r="G36" i="59"/>
  <c r="M36" i="59" s="1"/>
  <c r="G8" i="59"/>
  <c r="M8" i="59" s="1"/>
  <c r="AE58" i="53"/>
  <c r="P30" i="55"/>
  <c r="AE31" i="53"/>
  <c r="AE44" i="53"/>
  <c r="O11" i="59"/>
  <c r="U11" i="59" s="1"/>
  <c r="P45" i="55"/>
  <c r="G37" i="59"/>
  <c r="M37" i="59" s="1"/>
  <c r="G4" i="59"/>
  <c r="M4" i="59" s="1"/>
  <c r="AE45" i="53"/>
  <c r="P38" i="55"/>
  <c r="X43" i="53"/>
  <c r="P17" i="55"/>
  <c r="P12" i="55"/>
  <c r="P73" i="55"/>
  <c r="P57" i="55"/>
  <c r="S57" i="55"/>
  <c r="P77" i="55"/>
  <c r="S77" i="55"/>
  <c r="P135" i="55"/>
  <c r="P140" i="55"/>
  <c r="S140" i="55" s="1"/>
  <c r="G9" i="59"/>
  <c r="M9" i="59" s="1"/>
  <c r="M89" i="55" a="1"/>
  <c r="M89" i="55" s="1"/>
  <c r="S129" i="55"/>
  <c r="R129" i="55"/>
  <c r="S96" i="55"/>
  <c r="R90" i="55"/>
  <c r="R88" i="55"/>
  <c r="M133" i="55" a="1"/>
  <c r="M133" i="55" s="1"/>
  <c r="M37" i="55" a="1"/>
  <c r="M37" i="55" s="1"/>
  <c r="T10" i="59"/>
  <c r="R98" i="55"/>
  <c r="T98" i="55" s="1"/>
  <c r="R106" i="55"/>
  <c r="T106" i="55"/>
  <c r="M135" i="55" a="1"/>
  <c r="M135" i="55" s="1"/>
  <c r="M90" i="55" a="1"/>
  <c r="M90" i="55" s="1"/>
  <c r="M98" i="55" a="1"/>
  <c r="M98" i="55" s="1"/>
  <c r="M105" i="55" a="1"/>
  <c r="M105" i="55" s="1"/>
  <c r="M46" i="55" a="1"/>
  <c r="M46" i="55" s="1"/>
  <c r="M100" i="55" a="1"/>
  <c r="M100" i="55" s="1"/>
  <c r="M125" i="55" a="1"/>
  <c r="M125" i="55" s="1"/>
  <c r="M15" i="55" a="1"/>
  <c r="M15" i="55" s="1"/>
  <c r="M48" i="55" a="1"/>
  <c r="M48" i="55" s="1"/>
  <c r="M102" i="55" a="1"/>
  <c r="M102" i="55" s="1"/>
  <c r="M127" i="55" a="1"/>
  <c r="M127" i="55" s="1"/>
  <c r="M36" i="55" a="1"/>
  <c r="M36" i="55" s="1"/>
  <c r="M72" i="55" a="1"/>
  <c r="M72" i="55"/>
  <c r="M109" i="55" a="1"/>
  <c r="M109" i="55" s="1"/>
  <c r="M117" i="55" a="1"/>
  <c r="M117" i="55" s="1"/>
  <c r="M24" i="55" a="1"/>
  <c r="M24" i="55" s="1"/>
  <c r="M84" i="55" a="1"/>
  <c r="M84" i="55" s="1"/>
  <c r="M41" i="55" a="1"/>
  <c r="M41" i="55" s="1"/>
  <c r="M45" i="55" a="1"/>
  <c r="M45" i="55" s="1"/>
  <c r="M60" i="55" a="1"/>
  <c r="M60" i="55" s="1"/>
  <c r="M66" i="55" a="1"/>
  <c r="M66" i="55" s="1"/>
  <c r="M68" i="55" a="1"/>
  <c r="M68" i="55" s="1"/>
  <c r="M107" i="55" a="1"/>
  <c r="M107" i="55" s="1"/>
  <c r="M19" i="55" a="1"/>
  <c r="M19" i="55" s="1"/>
  <c r="M57" i="55" a="1"/>
  <c r="M57" i="55" s="1"/>
  <c r="M17" i="55" a="1"/>
  <c r="M17" i="55" s="1"/>
  <c r="M38" i="55" a="1"/>
  <c r="M38" i="55" s="1"/>
  <c r="M16" i="55" a="1"/>
  <c r="M16" i="55" s="1"/>
  <c r="M134" i="55" a="1"/>
  <c r="M134" i="55" s="1"/>
  <c r="M136" i="55" a="1"/>
  <c r="M136" i="55" s="1"/>
  <c r="M115" i="55" a="1"/>
  <c r="M115" i="55" s="1"/>
  <c r="M104" i="55" a="1"/>
  <c r="M104" i="55" s="1"/>
  <c r="M83" i="55" a="1"/>
  <c r="M83" i="55" s="1"/>
  <c r="M118" i="55" a="1"/>
  <c r="M118" i="55" s="1"/>
  <c r="M42" i="55" a="1"/>
  <c r="M42" i="55" s="1"/>
  <c r="M62" i="55" a="1"/>
  <c r="M62" i="55" s="1"/>
  <c r="M113" i="55" a="1"/>
  <c r="M113" i="55" s="1"/>
  <c r="M35" i="55" a="1"/>
  <c r="M35" i="55" s="1"/>
  <c r="M67" i="55" a="1"/>
  <c r="M67" i="55" s="1"/>
  <c r="M74" i="55" a="1"/>
  <c r="M74" i="55" s="1"/>
  <c r="M120" i="55" a="1"/>
  <c r="M120" i="55" s="1"/>
  <c r="M30" i="55" a="1"/>
  <c r="M30" i="55" s="1"/>
  <c r="M147" i="55"/>
  <c r="M32" i="55" a="1"/>
  <c r="M32" i="55" s="1"/>
  <c r="M40" i="55" a="1"/>
  <c r="M40" i="55" s="1"/>
  <c r="M91" i="55" a="1"/>
  <c r="M91" i="55" s="1"/>
  <c r="M82" i="55" a="1"/>
  <c r="M82" i="55" s="1"/>
  <c r="M130" i="55" a="1"/>
  <c r="M130" i="55" s="1"/>
  <c r="M132" i="55" a="1"/>
  <c r="M132" i="55" s="1"/>
  <c r="M54" i="55" a="1"/>
  <c r="M54" i="55"/>
  <c r="M7" i="55" a="1"/>
  <c r="M7" i="55" s="1"/>
  <c r="M114" i="55" a="1"/>
  <c r="M114" i="55" s="1"/>
  <c r="M49" i="55" a="1"/>
  <c r="M49" i="55" s="1"/>
  <c r="M53" i="55" a="1"/>
  <c r="M53" i="55" s="1"/>
  <c r="M59" i="55" a="1"/>
  <c r="M59" i="55" s="1"/>
  <c r="M34" i="55" a="1"/>
  <c r="M34" i="55" s="1"/>
  <c r="M140" i="55" a="1"/>
  <c r="M140" i="55" s="1"/>
  <c r="M112" i="55" a="1"/>
  <c r="M112" i="55" s="1"/>
  <c r="M138" i="55" a="1"/>
  <c r="M138" i="55" s="1"/>
  <c r="M23" i="55" a="1"/>
  <c r="M23" i="55" s="1"/>
  <c r="M76" i="55" a="1"/>
  <c r="M76" i="55" s="1"/>
  <c r="M29" i="55" a="1"/>
  <c r="M29" i="55" s="1"/>
  <c r="M73" i="55" a="1"/>
  <c r="M73" i="55" s="1"/>
  <c r="M22" i="55" a="1"/>
  <c r="M22" i="55" s="1"/>
  <c r="M85" i="55" a="1"/>
  <c r="M85" i="55" s="1"/>
  <c r="M99" i="55" a="1"/>
  <c r="M99" i="55" s="1"/>
  <c r="M93" i="55" a="1"/>
  <c r="M93" i="55"/>
  <c r="M139" i="55" a="1"/>
  <c r="M139" i="55" s="1"/>
  <c r="O139" i="55" s="1"/>
  <c r="M14" i="55" a="1"/>
  <c r="M14" i="55" s="1"/>
  <c r="M70" i="55" a="1"/>
  <c r="M70" i="55" s="1"/>
  <c r="M58" i="55" a="1"/>
  <c r="M58" i="55" s="1"/>
  <c r="M10" i="55" a="1"/>
  <c r="M10" i="55" s="1"/>
  <c r="M116" i="55" a="1"/>
  <c r="M116" i="55" s="1"/>
  <c r="M51" i="55" a="1"/>
  <c r="M51" i="55" s="1"/>
  <c r="M79" i="55" a="1"/>
  <c r="M79" i="55" s="1"/>
  <c r="M137" i="55" a="1"/>
  <c r="M137" i="55"/>
  <c r="M110" i="55" a="1"/>
  <c r="M110" i="55" s="1"/>
  <c r="M28" i="55" a="1"/>
  <c r="M28" i="55" s="1"/>
  <c r="M8" i="55" a="1"/>
  <c r="M8" i="55" s="1"/>
  <c r="M121" i="55" a="1"/>
  <c r="M121" i="55" s="1"/>
  <c r="M97" i="55" a="1"/>
  <c r="M97" i="55"/>
  <c r="M103" i="55" a="1"/>
  <c r="M103" i="55" s="1"/>
  <c r="M94" i="55" a="1"/>
  <c r="M94" i="55" s="1"/>
  <c r="M88" i="55" a="1"/>
  <c r="M88" i="55" s="1"/>
  <c r="M126" i="55" a="1"/>
  <c r="M126" i="55" s="1"/>
  <c r="L4" i="59"/>
  <c r="M47" i="55" a="1"/>
  <c r="M47" i="55" s="1"/>
  <c r="M55" i="55" a="1"/>
  <c r="M55" i="55" s="1"/>
  <c r="M11" i="55" a="1"/>
  <c r="M11" i="55" s="1"/>
  <c r="M27" i="55" a="1"/>
  <c r="M27" i="55" s="1"/>
  <c r="M78" i="55" a="1"/>
  <c r="M78" i="55" s="1"/>
  <c r="M26" i="55" a="1"/>
  <c r="M26" i="55" s="1"/>
  <c r="M56" i="55" a="1"/>
  <c r="M56" i="55" s="1"/>
  <c r="M39" i="55" a="1"/>
  <c r="M39" i="55" s="1"/>
  <c r="M119" i="55" a="1"/>
  <c r="M119" i="55" s="1"/>
  <c r="M77" i="55" a="1"/>
  <c r="M77" i="55" s="1"/>
  <c r="M21" i="55" a="1"/>
  <c r="M21" i="55" s="1"/>
  <c r="M124" i="55" a="1"/>
  <c r="M124" i="55" s="1"/>
  <c r="M52" i="55" a="1"/>
  <c r="M52" i="55" s="1"/>
  <c r="M25" i="55" a="1"/>
  <c r="M25" i="55" s="1"/>
  <c r="O25" i="55" s="1"/>
  <c r="M101" i="55" a="1"/>
  <c r="M101" i="55" s="1"/>
  <c r="M106" i="55" a="1"/>
  <c r="M106" i="55" s="1"/>
  <c r="M131" i="55" a="1"/>
  <c r="M131" i="55" s="1"/>
  <c r="M128" i="55" a="1"/>
  <c r="M128" i="55" s="1"/>
  <c r="M129" i="55" a="1"/>
  <c r="M129" i="55" s="1"/>
  <c r="M96" i="55" a="1"/>
  <c r="M96" i="55" s="1"/>
  <c r="M122" i="55" a="1"/>
  <c r="M122" i="55"/>
  <c r="M12" i="55" a="1"/>
  <c r="M12" i="55"/>
  <c r="M44" i="55" a="1"/>
  <c r="M44" i="55" s="1"/>
  <c r="M18" i="55" a="1"/>
  <c r="M18" i="55" s="1"/>
  <c r="M75" i="55" a="1"/>
  <c r="M75" i="55" s="1"/>
  <c r="M108" i="55" a="1"/>
  <c r="M108" i="55" s="1"/>
  <c r="M71" i="55" a="1"/>
  <c r="M71" i="55" s="1"/>
  <c r="M43" i="55" a="1"/>
  <c r="M43" i="55" s="1"/>
  <c r="M20" i="55" a="1"/>
  <c r="M20" i="55" s="1"/>
  <c r="M111" i="55" a="1"/>
  <c r="M111" i="55" s="1"/>
  <c r="M61" i="55" a="1"/>
  <c r="M61" i="55"/>
  <c r="N25" i="55" a="1"/>
  <c r="N25" i="55" s="1"/>
  <c r="N124" i="55" a="1"/>
  <c r="N124" i="55" s="1"/>
  <c r="O124" i="55" s="1"/>
  <c r="N92" i="55" a="1"/>
  <c r="N92" i="55" s="1"/>
  <c r="N77" i="55" a="1"/>
  <c r="N77" i="55" s="1"/>
  <c r="N138" i="55" a="1"/>
  <c r="N138" i="55" s="1"/>
  <c r="N117" i="55" a="1"/>
  <c r="N117" i="55" s="1"/>
  <c r="O117" i="55" s="1"/>
  <c r="N13" i="55" a="1"/>
  <c r="N13" i="55" s="1"/>
  <c r="N104" i="55" a="1"/>
  <c r="N104" i="55" s="1"/>
  <c r="N55" i="55" a="1"/>
  <c r="N55" i="55" s="1"/>
  <c r="N112" i="55" a="1"/>
  <c r="N112" i="55" s="1"/>
  <c r="O112" i="55" s="1"/>
  <c r="N46" i="55" a="1"/>
  <c r="N46" i="55" s="1"/>
  <c r="N52" i="55" a="1"/>
  <c r="N52" i="55" s="1"/>
  <c r="N22" i="55" a="1"/>
  <c r="N22" i="55" s="1"/>
  <c r="N131" i="55" a="1"/>
  <c r="N131" i="55" s="1"/>
  <c r="O131" i="55" s="1"/>
  <c r="N16" i="55" a="1"/>
  <c r="N16" i="55" s="1"/>
  <c r="N139" i="55" a="1"/>
  <c r="N139" i="55" s="1"/>
  <c r="N64" i="55" a="1"/>
  <c r="N64" i="55" s="1"/>
  <c r="N30" i="55" a="1"/>
  <c r="N30" i="55" s="1"/>
  <c r="N127" i="55" a="1"/>
  <c r="N127" i="55" s="1"/>
  <c r="O127" i="55" s="1"/>
  <c r="N51" i="55" a="1"/>
  <c r="N51" i="55" s="1"/>
  <c r="N19" i="55" a="1"/>
  <c r="N19" i="55" s="1"/>
  <c r="O19" i="55" s="1"/>
  <c r="N37" i="55" a="1"/>
  <c r="N37" i="55" s="1"/>
  <c r="N15" i="55" a="1"/>
  <c r="N15" i="55" s="1"/>
  <c r="O15" i="55" s="1"/>
  <c r="N108" i="55" a="1"/>
  <c r="N108" i="55" s="1"/>
  <c r="N9" i="55" a="1"/>
  <c r="N9" i="55" s="1"/>
  <c r="N133" i="55" a="1"/>
  <c r="N133" i="55" s="1"/>
  <c r="N26" i="55" a="1"/>
  <c r="N26" i="55" s="1"/>
  <c r="O26" i="55" s="1"/>
  <c r="N103" i="55" a="1"/>
  <c r="N103" i="55" s="1"/>
  <c r="N58" i="55" a="1"/>
  <c r="N58" i="55" s="1"/>
  <c r="O58" i="55" s="1"/>
  <c r="N47" i="55" a="1"/>
  <c r="N47" i="55" s="1"/>
  <c r="N57" i="55" a="1"/>
  <c r="N57" i="55" s="1"/>
  <c r="O57" i="55" s="1"/>
  <c r="N84" i="55" a="1"/>
  <c r="N84" i="55" s="1"/>
  <c r="N95" i="55" a="1"/>
  <c r="N95" i="55" s="1"/>
  <c r="N24" i="55" a="1"/>
  <c r="N24" i="55" s="1"/>
  <c r="N63" i="55" a="1"/>
  <c r="N63" i="55" s="1"/>
  <c r="N10" i="55" a="1"/>
  <c r="N10" i="55" s="1"/>
  <c r="N68" i="55" a="1"/>
  <c r="N68" i="55" s="1"/>
  <c r="O68" i="55" s="1"/>
  <c r="N79" i="55" a="1"/>
  <c r="N79" i="55" s="1"/>
  <c r="N98" i="55" a="1"/>
  <c r="N98" i="55" s="1"/>
  <c r="N128" i="55" a="1"/>
  <c r="N128" i="55" s="1"/>
  <c r="N130" i="55" a="1"/>
  <c r="N130" i="55" s="1"/>
  <c r="N140" i="55" a="1"/>
  <c r="N140" i="55" s="1"/>
  <c r="O140" i="55" s="1"/>
  <c r="N76" i="55" a="1"/>
  <c r="N76" i="55" s="1"/>
  <c r="N113" i="55" a="1"/>
  <c r="N113" i="55" s="1"/>
  <c r="O113" i="55" s="1"/>
  <c r="N71" i="55" a="1"/>
  <c r="N71" i="55" s="1"/>
  <c r="N80" i="55" a="1"/>
  <c r="N80" i="55" s="1"/>
  <c r="N70" i="55" a="1"/>
  <c r="N70" i="55" s="1"/>
  <c r="O70" i="55" s="1"/>
  <c r="N69" i="55" a="1"/>
  <c r="N69" i="55" s="1"/>
  <c r="O69" i="55" s="1"/>
  <c r="N11" i="55" a="1"/>
  <c r="N11" i="55" s="1"/>
  <c r="O11" i="55" s="1"/>
  <c r="N91" i="55" a="1"/>
  <c r="N91" i="55" s="1"/>
  <c r="N88" i="55" a="1"/>
  <c r="N88" i="55"/>
  <c r="N100" i="55" a="1"/>
  <c r="N100" i="55" s="1"/>
  <c r="O100" i="55" s="1"/>
  <c r="N36" i="55" a="1"/>
  <c r="N36" i="55" s="1"/>
  <c r="R89" i="55"/>
  <c r="R127" i="55"/>
  <c r="T127" i="55" s="1"/>
  <c r="R130" i="55"/>
  <c r="T130" i="55" s="1"/>
  <c r="R10" i="55"/>
  <c r="G54" i="55"/>
  <c r="P2" i="53"/>
  <c r="N66" i="55" a="1"/>
  <c r="N66" i="55" s="1"/>
  <c r="O66" i="55" s="1"/>
  <c r="N67" i="55" a="1"/>
  <c r="N67" i="55" s="1"/>
  <c r="O67" i="55" s="1"/>
  <c r="M69" i="55" a="1"/>
  <c r="M69" i="55"/>
  <c r="N2" i="53"/>
  <c r="P176" i="53"/>
  <c r="L54" i="55" s="1" a="1"/>
  <c r="L54" i="55" s="1"/>
  <c r="L87" i="55" a="1"/>
  <c r="L87" i="55" s="1"/>
  <c r="I2" i="55"/>
  <c r="T27" i="59"/>
  <c r="T22" i="59"/>
  <c r="N107" i="55" a="1"/>
  <c r="N107" i="55" s="1"/>
  <c r="O107" i="55" s="1"/>
  <c r="F32" i="59"/>
  <c r="AH12" i="26"/>
  <c r="E12" i="26"/>
  <c r="V40" i="59"/>
  <c r="F40" i="59"/>
  <c r="AH14" i="26"/>
  <c r="D12" i="26"/>
  <c r="AG14" i="26"/>
  <c r="AF12" i="26"/>
  <c r="H12" i="26"/>
  <c r="I12" i="26"/>
  <c r="T14" i="26"/>
  <c r="AB14" i="26"/>
  <c r="AC12" i="26"/>
  <c r="AI12" i="26"/>
  <c r="V12" i="26"/>
  <c r="W14" i="26"/>
  <c r="AA12" i="26"/>
  <c r="V14" i="26"/>
  <c r="S14" i="26"/>
  <c r="O14" i="26"/>
  <c r="J14" i="26"/>
  <c r="AB12" i="26"/>
  <c r="U12" i="26"/>
  <c r="F14" i="26"/>
  <c r="N73" i="55" a="1"/>
  <c r="N73" i="55" s="1"/>
  <c r="O73" i="55" s="1"/>
  <c r="N61" i="55" a="1"/>
  <c r="N61" i="55" s="1"/>
  <c r="R122" i="55"/>
  <c r="T122" i="55" s="1"/>
  <c r="N78" i="55" a="1"/>
  <c r="N78" i="55" s="1"/>
  <c r="N53" i="55" a="1"/>
  <c r="N53" i="55" s="1"/>
  <c r="O53" i="55" s="1"/>
  <c r="S104" i="55"/>
  <c r="R97" i="55"/>
  <c r="T97" i="55" s="1"/>
  <c r="S40" i="55"/>
  <c r="G60" i="55"/>
  <c r="H95" i="55"/>
  <c r="G95" i="55"/>
  <c r="G34" i="55"/>
  <c r="H26" i="55"/>
  <c r="G26" i="55"/>
  <c r="H67" i="55"/>
  <c r="S117" i="55"/>
  <c r="S118" i="55"/>
  <c r="R83" i="55"/>
  <c r="R82" i="55"/>
  <c r="T82" i="55" s="1"/>
  <c r="R105" i="55"/>
  <c r="R70" i="55"/>
  <c r="H75" i="55"/>
  <c r="G137" i="55"/>
  <c r="H86" i="55"/>
  <c r="G86" i="55"/>
  <c r="H102" i="55"/>
  <c r="H23" i="55"/>
  <c r="G98" i="55"/>
  <c r="H108" i="55"/>
  <c r="G108" i="55"/>
  <c r="G76" i="55"/>
  <c r="H27" i="55"/>
  <c r="G27" i="55"/>
  <c r="G94" i="55"/>
  <c r="H9" i="55"/>
  <c r="G9" i="55"/>
  <c r="H36" i="55"/>
  <c r="H119" i="55"/>
  <c r="D7" i="26"/>
  <c r="E7" i="26" s="1"/>
  <c r="C6" i="26"/>
  <c r="N176" i="53"/>
  <c r="K31" i="55" s="1" a="1"/>
  <c r="K31" i="55" s="1"/>
  <c r="I147" i="55"/>
  <c r="F18" i="59"/>
  <c r="R117" i="55"/>
  <c r="N110" i="55" a="1"/>
  <c r="N110" i="55" s="1"/>
  <c r="N105" i="55" a="1"/>
  <c r="N105" i="55" s="1"/>
  <c r="N12" i="26"/>
  <c r="C12" i="26"/>
  <c r="Z12" i="26"/>
  <c r="S12" i="26"/>
  <c r="P12" i="26"/>
  <c r="N120" i="55" a="1"/>
  <c r="N120" i="55" s="1"/>
  <c r="AK14" i="26"/>
  <c r="Y14" i="26"/>
  <c r="G14" i="26"/>
  <c r="D6" i="26"/>
  <c r="S94" i="55"/>
  <c r="S125" i="55"/>
  <c r="S95" i="55"/>
  <c r="S12" i="55"/>
  <c r="S128" i="55"/>
  <c r="R87" i="55"/>
  <c r="T87" i="55" s="1"/>
  <c r="S7" i="55"/>
  <c r="S71" i="55"/>
  <c r="S10" i="55"/>
  <c r="S126" i="55"/>
  <c r="S43" i="55"/>
  <c r="S127" i="55"/>
  <c r="R111" i="55"/>
  <c r="R103" i="55"/>
  <c r="S131" i="55"/>
  <c r="S123" i="55"/>
  <c r="S27" i="55"/>
  <c r="S124" i="55"/>
  <c r="S98" i="55"/>
  <c r="S44" i="55"/>
  <c r="S84" i="55"/>
  <c r="R114" i="55"/>
  <c r="S85" i="55"/>
  <c r="S59" i="55"/>
  <c r="S97" i="55"/>
  <c r="S45" i="55"/>
  <c r="R55" i="55"/>
  <c r="S17" i="55"/>
  <c r="R101" i="55"/>
  <c r="H33" i="55"/>
  <c r="G80" i="55"/>
  <c r="G106" i="55"/>
  <c r="G128" i="55"/>
  <c r="H78" i="55"/>
  <c r="F24" i="59"/>
  <c r="F9" i="59"/>
  <c r="T8" i="59"/>
  <c r="T11" i="59"/>
  <c r="V4" i="59"/>
  <c r="G47" i="55"/>
  <c r="G115" i="55"/>
  <c r="F39" i="59"/>
  <c r="L5" i="59"/>
  <c r="L26" i="59"/>
  <c r="L11" i="59"/>
  <c r="V9" i="59"/>
  <c r="L6" i="59"/>
  <c r="V24" i="59"/>
  <c r="N39" i="59"/>
  <c r="V22" i="59"/>
  <c r="L12" i="59"/>
  <c r="V8" i="59"/>
  <c r="T37" i="59"/>
  <c r="T6" i="59"/>
  <c r="L8" i="59"/>
  <c r="F10" i="59"/>
  <c r="V18" i="59"/>
  <c r="T36" i="59"/>
  <c r="N18" i="59"/>
  <c r="F7" i="59"/>
  <c r="F11" i="59"/>
  <c r="V6" i="59"/>
  <c r="F13" i="59"/>
  <c r="S16" i="55"/>
  <c r="N12" i="55" a="1"/>
  <c r="N12" i="55" s="1"/>
  <c r="O12" i="55" s="1"/>
  <c r="K54" i="55" a="1"/>
  <c r="K54" i="55" s="1"/>
  <c r="L9" i="55" a="1"/>
  <c r="L9" i="55" s="1"/>
  <c r="T19" i="59"/>
  <c r="V35" i="59"/>
  <c r="L32" i="59"/>
  <c r="F12" i="59"/>
  <c r="R18" i="55"/>
  <c r="N34" i="59"/>
  <c r="G16" i="55"/>
  <c r="H16" i="55"/>
  <c r="G127" i="55"/>
  <c r="G24" i="55"/>
  <c r="G84" i="55"/>
  <c r="S73" i="55"/>
  <c r="N27" i="59"/>
  <c r="N36" i="59"/>
  <c r="S86" i="55"/>
  <c r="L38" i="59"/>
  <c r="L21" i="59"/>
  <c r="P14" i="59"/>
  <c r="N7" i="55" a="1"/>
  <c r="N7" i="55" s="1"/>
  <c r="O7" i="55" s="1"/>
  <c r="R48" i="55"/>
  <c r="T48" i="55" s="1"/>
  <c r="N29" i="55" a="1"/>
  <c r="N29" i="55" s="1"/>
  <c r="N40" i="55" a="1"/>
  <c r="N40" i="55" s="1"/>
  <c r="O40" i="55" s="1"/>
  <c r="N135" i="55" a="1"/>
  <c r="N135" i="55" s="1"/>
  <c r="R24" i="55"/>
  <c r="X2" i="53"/>
  <c r="S66" i="55"/>
  <c r="H58" i="55"/>
  <c r="G104" i="55"/>
  <c r="H132" i="55"/>
  <c r="G118" i="55"/>
  <c r="H118" i="55"/>
  <c r="R93" i="55"/>
  <c r="L37" i="59"/>
  <c r="S133" i="55"/>
  <c r="N17" i="55" a="1"/>
  <c r="N17" i="55" s="1"/>
  <c r="R21" i="55"/>
  <c r="R54" i="55"/>
  <c r="T7" i="59"/>
  <c r="V37" i="59"/>
  <c r="N35" i="55" a="1"/>
  <c r="N35" i="55" s="1"/>
  <c r="R135" i="55"/>
  <c r="R109" i="55"/>
  <c r="T109" i="55" s="1"/>
  <c r="R107" i="55"/>
  <c r="R104" i="55"/>
  <c r="T104" i="55"/>
  <c r="L114" i="55" a="1"/>
  <c r="L114" i="55" s="1"/>
  <c r="N96" i="55" a="1"/>
  <c r="N96" i="55" s="1"/>
  <c r="G56" i="55"/>
  <c r="K42" i="55" a="1"/>
  <c r="K42" i="55" s="1"/>
  <c r="G42" i="55"/>
  <c r="H55" i="55"/>
  <c r="G74" i="55"/>
  <c r="H74" i="55"/>
  <c r="G105" i="55"/>
  <c r="H105" i="55"/>
  <c r="H59" i="55"/>
  <c r="G59" i="55"/>
  <c r="S69" i="55"/>
  <c r="L20" i="59"/>
  <c r="R128" i="55"/>
  <c r="T128" i="55" s="1"/>
  <c r="L23" i="55" a="1"/>
  <c r="L23" i="55" s="1"/>
  <c r="L97" i="55" a="1"/>
  <c r="L97" i="55" s="1"/>
  <c r="R92" i="55"/>
  <c r="G103" i="55"/>
  <c r="L90" i="55" a="1"/>
  <c r="L90" i="55" s="1"/>
  <c r="L12" i="55" a="1"/>
  <c r="L12" i="55" s="1"/>
  <c r="T4" i="59"/>
  <c r="V19" i="59"/>
  <c r="N21" i="55" a="1"/>
  <c r="N21" i="55" s="1"/>
  <c r="O21" i="55" s="1"/>
  <c r="H84" i="55"/>
  <c r="S30" i="55"/>
  <c r="R31" i="55"/>
  <c r="S53" i="55"/>
  <c r="N33" i="55" a="1"/>
  <c r="N33" i="55" s="1"/>
  <c r="R12" i="55"/>
  <c r="T12" i="55" s="1"/>
  <c r="R124" i="55"/>
  <c r="T124" i="55" s="1"/>
  <c r="T33" i="59"/>
  <c r="H90" i="55"/>
  <c r="S28" i="59"/>
  <c r="R136" i="55"/>
  <c r="R110" i="55"/>
  <c r="T110" i="55" s="1"/>
  <c r="R61" i="55"/>
  <c r="T39" i="59"/>
  <c r="N102" i="55" a="1"/>
  <c r="N102" i="55"/>
  <c r="G132" i="55"/>
  <c r="S47" i="55"/>
  <c r="S67" i="55"/>
  <c r="S33" i="55"/>
  <c r="S68" i="55"/>
  <c r="R76" i="55"/>
  <c r="T76" i="55"/>
  <c r="S63" i="55"/>
  <c r="T23" i="59"/>
  <c r="K128" i="55" a="1"/>
  <c r="K128" i="55" s="1"/>
  <c r="N41" i="59"/>
  <c r="V27" i="59"/>
  <c r="T35" i="59"/>
  <c r="N22" i="59"/>
  <c r="T41" i="59"/>
  <c r="F34" i="59"/>
  <c r="V34" i="59"/>
  <c r="J2" i="55"/>
  <c r="S49" i="55"/>
  <c r="T20" i="59"/>
  <c r="F20" i="59"/>
  <c r="N40" i="59"/>
  <c r="R63" i="55"/>
  <c r="V20" i="59"/>
  <c r="L25" i="59"/>
  <c r="T129" i="55"/>
  <c r="S62" i="55"/>
  <c r="T62" i="55" s="1"/>
  <c r="N31" i="55" a="1"/>
  <c r="N31" i="55" s="1"/>
  <c r="N97" i="55" a="1"/>
  <c r="N97" i="55" s="1"/>
  <c r="O97" i="55" s="1"/>
  <c r="N109" i="55" a="1"/>
  <c r="N109" i="55" s="1"/>
  <c r="N59" i="55" a="1"/>
  <c r="N59" i="55" s="1"/>
  <c r="O59" i="55" s="1"/>
  <c r="N32" i="55" a="1"/>
  <c r="N32" i="55" s="1"/>
  <c r="R77" i="55"/>
  <c r="R29" i="55"/>
  <c r="S21" i="55"/>
  <c r="S139" i="55"/>
  <c r="S42" i="59"/>
  <c r="M13" i="55" a="1"/>
  <c r="M13" i="55" s="1"/>
  <c r="O13" i="55" s="1"/>
  <c r="G58" i="55"/>
  <c r="R71" i="55"/>
  <c r="T71" i="55" s="1"/>
  <c r="S23" i="55"/>
  <c r="R134" i="55"/>
  <c r="T134" i="55" s="1"/>
  <c r="R43" i="55"/>
  <c r="T43" i="55" s="1"/>
  <c r="S61" i="55"/>
  <c r="M64" i="55" a="1"/>
  <c r="M64" i="55" s="1"/>
  <c r="M81" i="55" a="1"/>
  <c r="M81" i="55" s="1"/>
  <c r="M2" i="55"/>
  <c r="M9" i="55" a="1"/>
  <c r="M9" i="55" s="1"/>
  <c r="M50" i="55" a="1"/>
  <c r="M50" i="55" s="1"/>
  <c r="M95" i="55" a="1"/>
  <c r="M95" i="55" s="1"/>
  <c r="M33" i="55" a="1"/>
  <c r="M33" i="55" s="1"/>
  <c r="M87" i="55" a="1"/>
  <c r="M87" i="55" s="1"/>
  <c r="M63" i="55" a="1"/>
  <c r="M63" i="55" s="1"/>
  <c r="M31" i="55" a="1"/>
  <c r="M31" i="55" s="1"/>
  <c r="M123" i="55" a="1"/>
  <c r="M123" i="55" s="1"/>
  <c r="N38" i="55" a="1"/>
  <c r="N38" i="55" s="1"/>
  <c r="S64" i="55"/>
  <c r="S32" i="55"/>
  <c r="S82" i="55"/>
  <c r="S83" i="55"/>
  <c r="T83" i="55" s="1"/>
  <c r="L119" i="55" a="1"/>
  <c r="L119" i="55" s="1"/>
  <c r="L2" i="55"/>
  <c r="L58" i="55" a="1"/>
  <c r="L58" i="55" s="1"/>
  <c r="L56" i="55" a="1"/>
  <c r="L56" i="55" s="1"/>
  <c r="N118" i="55" a="1"/>
  <c r="N118" i="55" s="1"/>
  <c r="O118" i="55" s="1"/>
  <c r="N23" i="55" a="1"/>
  <c r="N23" i="55" s="1"/>
  <c r="Y12" i="26"/>
  <c r="R14" i="26"/>
  <c r="N8" i="55" a="1"/>
  <c r="N8" i="55"/>
  <c r="W12" i="26"/>
  <c r="Q12" i="26"/>
  <c r="B6" i="26"/>
  <c r="AG12" i="26"/>
  <c r="Z14" i="26"/>
  <c r="Q14" i="26"/>
  <c r="N65" i="55" a="1"/>
  <c r="N65" i="55"/>
  <c r="N81" i="55" a="1"/>
  <c r="N81" i="55" s="1"/>
  <c r="I14" i="26"/>
  <c r="N50" i="55" a="1"/>
  <c r="N50" i="55" s="1"/>
  <c r="M12" i="26"/>
  <c r="G12" i="26"/>
  <c r="S54" i="55"/>
  <c r="N82" i="55" a="1"/>
  <c r="N82" i="55" s="1"/>
  <c r="K12" i="26"/>
  <c r="U14" i="26"/>
  <c r="AD14" i="26"/>
  <c r="O12" i="26"/>
  <c r="H92" i="55"/>
  <c r="G92" i="55"/>
  <c r="N28" i="55" a="1"/>
  <c r="N28" i="55" s="1"/>
  <c r="O28" i="55" s="1"/>
  <c r="L59" i="55" a="1"/>
  <c r="L59" i="55" s="1"/>
  <c r="H83" i="55"/>
  <c r="G83" i="55"/>
  <c r="N43" i="55" a="1"/>
  <c r="N43" i="55" s="1"/>
  <c r="N129" i="55" a="1"/>
  <c r="N129" i="55" s="1"/>
  <c r="AF14" i="26"/>
  <c r="X12" i="26"/>
  <c r="N137" i="55" a="1"/>
  <c r="N137" i="55" s="1"/>
  <c r="O137" i="55" s="1"/>
  <c r="AL14" i="26"/>
  <c r="L14" i="26"/>
  <c r="P14" i="26"/>
  <c r="R12" i="26"/>
  <c r="G122" i="55"/>
  <c r="H122" i="55"/>
  <c r="T12" i="26"/>
  <c r="AJ12" i="26"/>
  <c r="X14" i="26"/>
  <c r="M14" i="26"/>
  <c r="G141" i="55"/>
  <c r="H141" i="55"/>
  <c r="G113" i="55"/>
  <c r="H113" i="55"/>
  <c r="G135" i="55"/>
  <c r="H135" i="55"/>
  <c r="H51" i="55"/>
  <c r="L51" i="55" a="1"/>
  <c r="L51" i="55" s="1"/>
  <c r="G35" i="55"/>
  <c r="H120" i="55"/>
  <c r="G120" i="55"/>
  <c r="R51" i="55"/>
  <c r="R96" i="55"/>
  <c r="R50" i="55"/>
  <c r="R91" i="55"/>
  <c r="R49" i="55"/>
  <c r="R47" i="55"/>
  <c r="R19" i="55"/>
  <c r="R14" i="55"/>
  <c r="R118" i="55"/>
  <c r="T118" i="55"/>
  <c r="R73" i="55"/>
  <c r="T73" i="55"/>
  <c r="H41" i="55"/>
  <c r="G41" i="55"/>
  <c r="L100" i="55" a="1"/>
  <c r="L100" i="55" s="1"/>
  <c r="H100" i="55"/>
  <c r="G100" i="55"/>
  <c r="H70" i="55"/>
  <c r="G70" i="55"/>
  <c r="L70" i="55" a="1"/>
  <c r="L70" i="55" s="1"/>
  <c r="G40" i="55"/>
  <c r="H40" i="55"/>
  <c r="G38" i="55"/>
  <c r="H38" i="55"/>
  <c r="H107" i="55"/>
  <c r="G107" i="55"/>
  <c r="G81" i="55"/>
  <c r="H81" i="55"/>
  <c r="G19" i="55"/>
  <c r="H19" i="55"/>
  <c r="L19" i="55" a="1"/>
  <c r="L19" i="55" s="1"/>
  <c r="G117" i="55"/>
  <c r="H117" i="55"/>
  <c r="H62" i="55"/>
  <c r="G62" i="55"/>
  <c r="G61" i="55"/>
  <c r="H32" i="55"/>
  <c r="G32" i="55"/>
  <c r="G31" i="55"/>
  <c r="L31" i="55" a="1"/>
  <c r="L31" i="55" s="1"/>
  <c r="H31" i="55"/>
  <c r="L13" i="55" a="1"/>
  <c r="L13" i="55" s="1"/>
  <c r="G13" i="55"/>
  <c r="H13" i="55"/>
  <c r="G96" i="55"/>
  <c r="H96" i="55"/>
  <c r="H89" i="55"/>
  <c r="L89" i="55" a="1"/>
  <c r="L89" i="55" s="1"/>
  <c r="G10" i="55"/>
  <c r="H10" i="55"/>
  <c r="R137" i="55"/>
  <c r="S101" i="55"/>
  <c r="R28" i="55"/>
  <c r="T28" i="55" s="1"/>
  <c r="R86" i="55"/>
  <c r="T54" i="55"/>
  <c r="R46" i="55"/>
  <c r="R120" i="55"/>
  <c r="S137" i="55"/>
  <c r="T88" i="55"/>
  <c r="R79" i="55"/>
  <c r="S113" i="55"/>
  <c r="R85" i="55"/>
  <c r="H22" i="55"/>
  <c r="R126" i="55"/>
  <c r="T126" i="55" s="1"/>
  <c r="R139" i="55"/>
  <c r="T18" i="55"/>
  <c r="R138" i="55"/>
  <c r="T138" i="55" s="1"/>
  <c r="S91" i="55"/>
  <c r="S51" i="55"/>
  <c r="P2" i="55"/>
  <c r="S135" i="55"/>
  <c r="R140" i="55"/>
  <c r="T140" i="55" s="1"/>
  <c r="S93" i="55"/>
  <c r="T93" i="55" s="1"/>
  <c r="T77" i="55"/>
  <c r="S65" i="55"/>
  <c r="R26" i="55"/>
  <c r="T26" i="55" s="1"/>
  <c r="T117" i="55"/>
  <c r="R131" i="55"/>
  <c r="T131" i="55" s="1"/>
  <c r="Q2" i="55"/>
  <c r="R69" i="55"/>
  <c r="T69" i="55" s="1"/>
  <c r="S14" i="55"/>
  <c r="S39" i="55"/>
  <c r="R36" i="55"/>
  <c r="R141" i="55"/>
  <c r="T141" i="55"/>
  <c r="S46" i="55"/>
  <c r="S52" i="55"/>
  <c r="R108" i="55"/>
  <c r="T108" i="55"/>
  <c r="S28" i="55"/>
  <c r="S60" i="55"/>
  <c r="S90" i="55"/>
  <c r="R22" i="55"/>
  <c r="T22" i="55" s="1"/>
  <c r="R57" i="55"/>
  <c r="T57" i="55"/>
  <c r="S19" i="55"/>
  <c r="S119" i="55"/>
  <c r="R64" i="55"/>
  <c r="T63" i="55"/>
  <c r="R11" i="55"/>
  <c r="T11" i="55" s="1"/>
  <c r="R84" i="55"/>
  <c r="T84" i="55" s="1"/>
  <c r="R42" i="55"/>
  <c r="S79" i="55"/>
  <c r="T136" i="55"/>
  <c r="R115" i="55"/>
  <c r="T115" i="55" s="1"/>
  <c r="R123" i="55"/>
  <c r="O77" i="55"/>
  <c r="F12" i="26"/>
  <c r="K14" i="26"/>
  <c r="AA14" i="26"/>
  <c r="G2" i="26"/>
  <c r="AL12" i="26"/>
  <c r="AK12" i="26"/>
  <c r="AC14" i="26"/>
  <c r="J12" i="26"/>
  <c r="AE14" i="26"/>
  <c r="AD12" i="26"/>
  <c r="N14" i="26"/>
  <c r="B12" i="26"/>
  <c r="R68" i="55"/>
  <c r="T68" i="55" s="1"/>
  <c r="AI14" i="26"/>
  <c r="R132" i="55"/>
  <c r="T132" i="55" s="1"/>
  <c r="H25" i="55"/>
  <c r="G25" i="55"/>
  <c r="H126" i="55"/>
  <c r="G126" i="55"/>
  <c r="L126" i="55" a="1"/>
  <c r="L126" i="55" s="1"/>
  <c r="K18" i="55" a="1"/>
  <c r="K18" i="55" s="1"/>
  <c r="R7" i="55"/>
  <c r="H101" i="55"/>
  <c r="G101" i="55"/>
  <c r="R75" i="55"/>
  <c r="R74" i="55"/>
  <c r="T74" i="55" s="1"/>
  <c r="R58" i="55"/>
  <c r="T58" i="55" s="1"/>
  <c r="AJ14" i="26"/>
  <c r="S116" i="55"/>
  <c r="H18" i="55"/>
  <c r="G18" i="55"/>
  <c r="AE12" i="26"/>
  <c r="H61" i="55"/>
  <c r="H35" i="55"/>
  <c r="T137" i="55"/>
  <c r="D5" i="57"/>
  <c r="D12" i="57"/>
  <c r="D10" i="57"/>
  <c r="D11" i="57"/>
  <c r="D7" i="57"/>
  <c r="D8" i="57"/>
  <c r="D9" i="57"/>
  <c r="D6" i="57"/>
  <c r="G8" i="55" l="1"/>
  <c r="H8" i="55"/>
  <c r="L8" i="55" a="1"/>
  <c r="L8" i="55" s="1"/>
  <c r="T81" i="55"/>
  <c r="G46" i="55"/>
  <c r="L46" i="55" a="1"/>
  <c r="L46" i="55" s="1"/>
  <c r="H46" i="55"/>
  <c r="G138" i="55"/>
  <c r="L138" i="55" a="1"/>
  <c r="L138" i="55" s="1"/>
  <c r="H138" i="55"/>
  <c r="G112" i="55"/>
  <c r="H112" i="55"/>
  <c r="G99" i="55"/>
  <c r="H99" i="55"/>
  <c r="G110" i="55"/>
  <c r="L110" i="55" a="1"/>
  <c r="L110" i="55" s="1"/>
  <c r="H109" i="55"/>
  <c r="G109" i="55"/>
  <c r="L45" i="55" a="1"/>
  <c r="L45" i="55" s="1"/>
  <c r="H45" i="55"/>
  <c r="G45" i="55"/>
  <c r="T24" i="55"/>
  <c r="G133" i="55"/>
  <c r="L133" i="55" a="1"/>
  <c r="L133" i="55" s="1"/>
  <c r="H133" i="55"/>
  <c r="H65" i="55"/>
  <c r="G65" i="55"/>
  <c r="G50" i="55"/>
  <c r="H50" i="55"/>
  <c r="H63" i="55"/>
  <c r="G63" i="55"/>
  <c r="T139" i="55"/>
  <c r="T50" i="55"/>
  <c r="O109" i="55"/>
  <c r="H39" i="55"/>
  <c r="T10" i="55"/>
  <c r="O52" i="55"/>
  <c r="L83" i="55" a="1"/>
  <c r="L83" i="55" s="1"/>
  <c r="T79" i="55"/>
  <c r="S72" i="55"/>
  <c r="T72" i="55" s="1"/>
  <c r="L62" i="55" a="1"/>
  <c r="L62" i="55" s="1"/>
  <c r="L38" i="55" a="1"/>
  <c r="L38" i="55" s="1"/>
  <c r="L41" i="55" a="1"/>
  <c r="L41" i="55" s="1"/>
  <c r="T96" i="55"/>
  <c r="L67" i="55" a="1"/>
  <c r="L67" i="55" s="1"/>
  <c r="N147" i="55"/>
  <c r="F33" i="59"/>
  <c r="F26" i="59"/>
  <c r="AE176" i="53"/>
  <c r="X176" i="53"/>
  <c r="N62" i="55" a="1"/>
  <c r="N62" i="55" s="1"/>
  <c r="O62" i="55" s="1"/>
  <c r="N122" i="55" a="1"/>
  <c r="N122" i="55" s="1"/>
  <c r="O122" i="55" s="1"/>
  <c r="N18" i="55" a="1"/>
  <c r="N18" i="55" s="1"/>
  <c r="O18" i="55" s="1"/>
  <c r="N45" i="55" a="1"/>
  <c r="N45" i="55" s="1"/>
  <c r="O45" i="55" s="1"/>
  <c r="N48" i="55" a="1"/>
  <c r="N48" i="55" s="1"/>
  <c r="R16" i="55"/>
  <c r="H14" i="59"/>
  <c r="K14" i="59"/>
  <c r="T13" i="59"/>
  <c r="O61" i="55"/>
  <c r="T89" i="55"/>
  <c r="T103" i="55"/>
  <c r="R20" i="55"/>
  <c r="T20" i="55" s="1"/>
  <c r="T47" i="55"/>
  <c r="N141" i="55" a="1"/>
  <c r="N141" i="55" s="1"/>
  <c r="N134" i="55" a="1"/>
  <c r="N134" i="55" s="1"/>
  <c r="O134" i="55" s="1"/>
  <c r="R28" i="59"/>
  <c r="J28" i="59"/>
  <c r="K42" i="59"/>
  <c r="T86" i="55"/>
  <c r="L128" i="55" a="1"/>
  <c r="L128" i="55" s="1"/>
  <c r="L47" i="55" a="1"/>
  <c r="L47" i="55" s="1"/>
  <c r="F36" i="59"/>
  <c r="T123" i="55"/>
  <c r="L117" i="55" a="1"/>
  <c r="L117" i="55" s="1"/>
  <c r="L40" i="55" a="1"/>
  <c r="L40" i="55" s="1"/>
  <c r="L113" i="55" a="1"/>
  <c r="L113" i="55" s="1"/>
  <c r="L18" i="55" a="1"/>
  <c r="L18" i="55" s="1"/>
  <c r="F41" i="59"/>
  <c r="L55" i="55" a="1"/>
  <c r="L55" i="55" s="1"/>
  <c r="N125" i="55" a="1"/>
  <c r="N125" i="55" s="1"/>
  <c r="O125" i="55" s="1"/>
  <c r="H136" i="55"/>
  <c r="P147" i="55"/>
  <c r="R2" i="55" s="1"/>
  <c r="L34" i="55" a="1"/>
  <c r="L34" i="55" s="1"/>
  <c r="F25" i="59"/>
  <c r="N19" i="59"/>
  <c r="N75" i="55" a="1"/>
  <c r="N75" i="55" s="1"/>
  <c r="O75" i="55" s="1"/>
  <c r="N90" i="55" a="1"/>
  <c r="N90" i="55" s="1"/>
  <c r="O90" i="55" s="1"/>
  <c r="N85" i="55" a="1"/>
  <c r="N85" i="55" s="1"/>
  <c r="N132" i="55" a="1"/>
  <c r="N132" i="55" s="1"/>
  <c r="O132" i="55" s="1"/>
  <c r="N27" i="55" a="1"/>
  <c r="N27" i="55" s="1"/>
  <c r="R133" i="55"/>
  <c r="S41" i="55"/>
  <c r="T41" i="55" s="1"/>
  <c r="N24" i="59"/>
  <c r="V12" i="59"/>
  <c r="O76" i="55"/>
  <c r="L104" i="55" a="1"/>
  <c r="L104" i="55" s="1"/>
  <c r="O135" i="55"/>
  <c r="T111" i="55"/>
  <c r="T16" i="55"/>
  <c r="O130" i="55"/>
  <c r="T75" i="55"/>
  <c r="R95" i="55"/>
  <c r="T95" i="55" s="1"/>
  <c r="R102" i="55"/>
  <c r="T102" i="55" s="1"/>
  <c r="S13" i="55"/>
  <c r="T13" i="55" s="1"/>
  <c r="O120" i="55"/>
  <c r="O36" i="55"/>
  <c r="L141" i="55" a="1"/>
  <c r="L141" i="55" s="1"/>
  <c r="O82" i="55"/>
  <c r="O8" i="55"/>
  <c r="L42" i="55" a="1"/>
  <c r="L42" i="55" s="1"/>
  <c r="T133" i="55"/>
  <c r="T52" i="55"/>
  <c r="T135" i="55"/>
  <c r="O128" i="55"/>
  <c r="R25" i="55"/>
  <c r="T25" i="55" s="1"/>
  <c r="L10" i="55" a="1"/>
  <c r="L10" i="55" s="1"/>
  <c r="L120" i="55" a="1"/>
  <c r="L120" i="55" s="1"/>
  <c r="T29" i="55"/>
  <c r="T61" i="55"/>
  <c r="L131" i="55" a="1"/>
  <c r="L131" i="55" s="1"/>
  <c r="O98" i="55"/>
  <c r="N83" i="55" a="1"/>
  <c r="N83" i="55" s="1"/>
  <c r="O83" i="55" s="1"/>
  <c r="N119" i="55" a="1"/>
  <c r="N119" i="55" s="1"/>
  <c r="N20" i="55" a="1"/>
  <c r="N20" i="55" s="1"/>
  <c r="V23" i="59"/>
  <c r="N101" i="55" a="1"/>
  <c r="N101" i="55" s="1"/>
  <c r="O101" i="55" s="1"/>
  <c r="R23" i="55"/>
  <c r="T23" i="55" s="1"/>
  <c r="T85" i="55"/>
  <c r="T101" i="55"/>
  <c r="T51" i="55"/>
  <c r="L115" i="55" a="1"/>
  <c r="L115" i="55" s="1"/>
  <c r="L130" i="55" a="1"/>
  <c r="L130" i="55" s="1"/>
  <c r="I28" i="59"/>
  <c r="Q28" i="59"/>
  <c r="O17" i="55"/>
  <c r="L81" i="55" a="1"/>
  <c r="L81" i="55" s="1"/>
  <c r="L35" i="55" a="1"/>
  <c r="L35" i="55" s="1"/>
  <c r="T64" i="55"/>
  <c r="O23" i="55"/>
  <c r="R37" i="55"/>
  <c r="T37" i="55" s="1"/>
  <c r="L108" i="55" a="1"/>
  <c r="L108" i="55" s="1"/>
  <c r="L98" i="55" a="1"/>
  <c r="L98" i="55" s="1"/>
  <c r="R34" i="55"/>
  <c r="T34" i="55" s="1"/>
  <c r="G97" i="55"/>
  <c r="T105" i="55"/>
  <c r="R112" i="55"/>
  <c r="T112" i="55" s="1"/>
  <c r="T25" i="59"/>
  <c r="N74" i="55" a="1"/>
  <c r="N74" i="55" s="1"/>
  <c r="O74" i="55" s="1"/>
  <c r="N115" i="55" a="1"/>
  <c r="N115" i="55" s="1"/>
  <c r="O115" i="55" s="1"/>
  <c r="N121" i="55" a="1"/>
  <c r="N121" i="55" s="1"/>
  <c r="O121" i="55" s="1"/>
  <c r="N34" i="55" a="1"/>
  <c r="N34" i="55" s="1"/>
  <c r="N111" i="55" a="1"/>
  <c r="N111" i="55" s="1"/>
  <c r="O111" i="55" s="1"/>
  <c r="T90" i="55"/>
  <c r="R38" i="55"/>
  <c r="N7" i="59"/>
  <c r="T31" i="55"/>
  <c r="T19" i="55"/>
  <c r="T39" i="55"/>
  <c r="L61" i="55" a="1"/>
  <c r="L61" i="55" s="1"/>
  <c r="L107" i="55" a="1"/>
  <c r="L107" i="55" s="1"/>
  <c r="T49" i="55"/>
  <c r="N42" i="55" a="1"/>
  <c r="N42" i="55" s="1"/>
  <c r="O42" i="55" s="1"/>
  <c r="N86" i="55" a="1"/>
  <c r="N86" i="55" s="1"/>
  <c r="N93" i="55" a="1"/>
  <c r="N93" i="55" s="1"/>
  <c r="O93" i="55" s="1"/>
  <c r="R56" i="55"/>
  <c r="T56" i="55" s="1"/>
  <c r="L101" i="55" a="1"/>
  <c r="L101" i="55" s="1"/>
  <c r="L147" i="55"/>
  <c r="L35" i="59"/>
  <c r="N136" i="55" a="1"/>
  <c r="N136" i="55" s="1"/>
  <c r="O136" i="55" s="1"/>
  <c r="N9" i="59"/>
  <c r="T114" i="55"/>
  <c r="T32" i="59"/>
  <c r="N49" i="55" a="1"/>
  <c r="N49" i="55" s="1"/>
  <c r="N116" i="55" a="1"/>
  <c r="N116" i="55" s="1"/>
  <c r="N14" i="55" a="1"/>
  <c r="N14" i="55" s="1"/>
  <c r="N72" i="55" a="1"/>
  <c r="N72" i="55" s="1"/>
  <c r="O72" i="55" s="1"/>
  <c r="R67" i="55"/>
  <c r="R52" i="55"/>
  <c r="T119" i="55"/>
  <c r="O105" i="55"/>
  <c r="O10" i="55"/>
  <c r="R33" i="55"/>
  <c r="T33" i="55" s="1"/>
  <c r="I42" i="59"/>
  <c r="J14" i="59"/>
  <c r="Q14" i="59"/>
  <c r="D14" i="59"/>
  <c r="D42" i="59"/>
  <c r="F42" i="59" s="1" a="1"/>
  <c r="F42" i="59" s="1"/>
  <c r="T26" i="59"/>
  <c r="L39" i="55" a="1"/>
  <c r="L39" i="55" s="1"/>
  <c r="O108" i="55"/>
  <c r="O22" i="55"/>
  <c r="T107" i="55"/>
  <c r="O32" i="55"/>
  <c r="L60" i="55" a="1"/>
  <c r="L60" i="55" s="1"/>
  <c r="L135" i="55" a="1"/>
  <c r="L135" i="55" s="1"/>
  <c r="O63" i="55"/>
  <c r="R121" i="55"/>
  <c r="T121" i="55" s="1"/>
  <c r="R80" i="55"/>
  <c r="T80" i="55" s="1"/>
  <c r="T65" i="55"/>
  <c r="K32" i="55" a="1"/>
  <c r="K32" i="55" s="1"/>
  <c r="O119" i="55"/>
  <c r="O2" i="55"/>
  <c r="O38" i="55"/>
  <c r="O33" i="55"/>
  <c r="O48" i="55"/>
  <c r="O43" i="55"/>
  <c r="H28" i="59"/>
  <c r="O88" i="55"/>
  <c r="G28" i="59"/>
  <c r="M28" i="59" s="1"/>
  <c r="G14" i="59"/>
  <c r="M14" i="59" s="1"/>
  <c r="H52" i="55"/>
  <c r="G52" i="55"/>
  <c r="L52" i="55" a="1"/>
  <c r="L52" i="55" s="1"/>
  <c r="H93" i="55"/>
  <c r="G93" i="55"/>
  <c r="L93" i="55" a="1"/>
  <c r="L93" i="55" s="1"/>
  <c r="G17" i="55"/>
  <c r="H17" i="55"/>
  <c r="L17" i="55" a="1"/>
  <c r="L17" i="55" s="1"/>
  <c r="H111" i="55"/>
  <c r="G111" i="55"/>
  <c r="L111" i="55" a="1"/>
  <c r="L111" i="55" s="1"/>
  <c r="G79" i="55"/>
  <c r="L79" i="55" a="1"/>
  <c r="L79" i="55" s="1"/>
  <c r="H79" i="55"/>
  <c r="H64" i="55"/>
  <c r="G64" i="55"/>
  <c r="L64" i="55" a="1"/>
  <c r="L64" i="55" s="1"/>
  <c r="G37" i="55"/>
  <c r="H37" i="55"/>
  <c r="L37" i="55" a="1"/>
  <c r="L37" i="55" s="1"/>
  <c r="O55" i="55"/>
  <c r="H140" i="55"/>
  <c r="G140" i="55"/>
  <c r="L140" i="55" a="1"/>
  <c r="L140" i="55" s="1"/>
  <c r="K124" i="55" a="1"/>
  <c r="K124" i="55" s="1"/>
  <c r="H124" i="55"/>
  <c r="G124" i="55"/>
  <c r="H48" i="55"/>
  <c r="G48" i="55"/>
  <c r="L48" i="55" a="1"/>
  <c r="L48" i="55" s="1"/>
  <c r="L20" i="55" a="1"/>
  <c r="L20" i="55" s="1"/>
  <c r="H20" i="55"/>
  <c r="G20" i="55"/>
  <c r="G139" i="55"/>
  <c r="H139" i="55"/>
  <c r="L139" i="55" a="1"/>
  <c r="L139" i="55" s="1"/>
  <c r="H49" i="55"/>
  <c r="G49" i="55"/>
  <c r="H21" i="55"/>
  <c r="K21" i="55" a="1"/>
  <c r="K21" i="55" s="1"/>
  <c r="G21" i="55"/>
  <c r="L21" i="55" a="1"/>
  <c r="L21" i="55" s="1"/>
  <c r="L85" i="55" a="1"/>
  <c r="L85" i="55" s="1"/>
  <c r="H85" i="55"/>
  <c r="G85" i="55"/>
  <c r="T38" i="55"/>
  <c r="O91" i="55"/>
  <c r="G71" i="55"/>
  <c r="H71" i="55"/>
  <c r="G15" i="55"/>
  <c r="H15" i="55"/>
  <c r="L15" i="55" a="1"/>
  <c r="L15" i="55" s="1"/>
  <c r="H123" i="55"/>
  <c r="G123" i="55"/>
  <c r="L123" i="55" a="1"/>
  <c r="L123" i="55" s="1"/>
  <c r="G7" i="55"/>
  <c r="H7" i="55"/>
  <c r="H69" i="55"/>
  <c r="G69" i="55"/>
  <c r="H44" i="55"/>
  <c r="G44" i="55"/>
  <c r="H29" i="55"/>
  <c r="G29" i="55"/>
  <c r="H125" i="55"/>
  <c r="G125" i="55"/>
  <c r="L125" i="55" a="1"/>
  <c r="L125" i="55" s="1"/>
  <c r="G68" i="55"/>
  <c r="H68" i="55"/>
  <c r="L68" i="55" a="1"/>
  <c r="L68" i="55" s="1"/>
  <c r="T15" i="55"/>
  <c r="H11" i="55"/>
  <c r="G11" i="55"/>
  <c r="L11" i="55" a="1"/>
  <c r="L11" i="55" s="1"/>
  <c r="L91" i="55" a="1"/>
  <c r="L91" i="55" s="1"/>
  <c r="G91" i="55"/>
  <c r="H91" i="55"/>
  <c r="H121" i="55"/>
  <c r="G121" i="55"/>
  <c r="L121" i="55" a="1"/>
  <c r="L121" i="55" s="1"/>
  <c r="G66" i="55"/>
  <c r="H66" i="55"/>
  <c r="L66" i="55" a="1"/>
  <c r="L66" i="55" s="1"/>
  <c r="L53" i="55" a="1"/>
  <c r="L53" i="55" s="1"/>
  <c r="H53" i="55"/>
  <c r="G53" i="55"/>
  <c r="R42" i="59"/>
  <c r="O147" i="55"/>
  <c r="H104" i="55"/>
  <c r="G134" i="55"/>
  <c r="O14" i="55"/>
  <c r="N39" i="55" a="1"/>
  <c r="N39" i="55" s="1"/>
  <c r="O39" i="55" s="1"/>
  <c r="N41" i="55" a="1"/>
  <c r="N41" i="55" s="1"/>
  <c r="O41" i="55" s="1"/>
  <c r="T36" i="55"/>
  <c r="O86" i="55"/>
  <c r="O129" i="55"/>
  <c r="L134" i="55" a="1"/>
  <c r="L134" i="55" s="1"/>
  <c r="T7" i="55"/>
  <c r="T42" i="55"/>
  <c r="L32" i="55" a="1"/>
  <c r="L32" i="55" s="1"/>
  <c r="T91" i="55"/>
  <c r="B28" i="59"/>
  <c r="N60" i="55" a="1"/>
  <c r="N60" i="55" s="1"/>
  <c r="O60" i="55" s="1"/>
  <c r="N114" i="55" a="1"/>
  <c r="N114" i="55" s="1"/>
  <c r="O114" i="55" s="1"/>
  <c r="R78" i="55"/>
  <c r="T78" i="55" s="1"/>
  <c r="L99" i="55" a="1"/>
  <c r="L99" i="55" s="1"/>
  <c r="O102" i="55"/>
  <c r="L82" i="55" a="1"/>
  <c r="L82" i="55" s="1"/>
  <c r="C28" i="59"/>
  <c r="T14" i="55"/>
  <c r="L73" i="55" a="1"/>
  <c r="L73" i="55" s="1"/>
  <c r="C42" i="59"/>
  <c r="O79" i="55"/>
  <c r="O28" i="59"/>
  <c r="U28" i="59" s="1"/>
  <c r="L96" i="55" a="1"/>
  <c r="L96" i="55" s="1"/>
  <c r="H73" i="55"/>
  <c r="T38" i="59"/>
  <c r="L26" i="55" a="1"/>
  <c r="L26" i="55" s="1"/>
  <c r="L14" i="55" a="1"/>
  <c r="L14" i="55" s="1"/>
  <c r="L57" i="55" a="1"/>
  <c r="L57" i="55" s="1"/>
  <c r="H82" i="55"/>
  <c r="R32" i="55"/>
  <c r="T32" i="55" s="1"/>
  <c r="N54" i="55" a="1"/>
  <c r="N54" i="55" s="1"/>
  <c r="O54" i="55" s="1"/>
  <c r="N87" i="55" a="1"/>
  <c r="N87" i="55" s="1"/>
  <c r="O87" i="55" s="1"/>
  <c r="O78" i="55"/>
  <c r="R45" i="55"/>
  <c r="T45" i="55" s="1"/>
  <c r="O110" i="55"/>
  <c r="S38" i="55"/>
  <c r="K30" i="55" a="1"/>
  <c r="K30" i="55" s="1"/>
  <c r="T46" i="55"/>
  <c r="L33" i="59"/>
  <c r="T92" i="55"/>
  <c r="L95" i="55" a="1"/>
  <c r="L95" i="55" s="1"/>
  <c r="F28" i="59" a="1"/>
  <c r="F28" i="59" s="1"/>
  <c r="L102" i="55" a="1"/>
  <c r="L102" i="55" s="1"/>
  <c r="O27" i="55"/>
  <c r="E42" i="59"/>
  <c r="N44" i="55" a="1"/>
  <c r="N44" i="55" s="1"/>
  <c r="O44" i="55" s="1"/>
  <c r="R116" i="55"/>
  <c r="T116" i="55" s="1"/>
  <c r="O42" i="59"/>
  <c r="U42" i="59" s="1"/>
  <c r="F38" i="59"/>
  <c r="L78" i="55" a="1"/>
  <c r="L78" i="55" s="1"/>
  <c r="L25" i="55" a="1"/>
  <c r="L25" i="55" s="1"/>
  <c r="L75" i="55" a="1"/>
  <c r="L75" i="55" s="1"/>
  <c r="L77" i="55" a="1"/>
  <c r="L77" i="55" s="1"/>
  <c r="O116" i="55"/>
  <c r="N126" i="55" a="1"/>
  <c r="N126" i="55" s="1"/>
  <c r="O126" i="55" s="1"/>
  <c r="N2" i="55"/>
  <c r="N89" i="55" a="1"/>
  <c r="N89" i="55" s="1"/>
  <c r="O89" i="55" s="1"/>
  <c r="N106" i="55" a="1"/>
  <c r="N106" i="55" s="1"/>
  <c r="O106" i="55" s="1"/>
  <c r="F5" i="59"/>
  <c r="R94" i="55"/>
  <c r="T94" i="55" s="1"/>
  <c r="G42" i="59"/>
  <c r="M42" i="59" s="1"/>
  <c r="O103" i="55"/>
  <c r="V5" i="59"/>
  <c r="R113" i="55"/>
  <c r="T113" i="55" s="1"/>
  <c r="O31" i="55"/>
  <c r="B14" i="59"/>
  <c r="B42" i="59"/>
  <c r="O14" i="59"/>
  <c r="U14" i="59" s="1"/>
  <c r="L16" i="55" a="1"/>
  <c r="L16" i="55" s="1"/>
  <c r="N123" i="55" a="1"/>
  <c r="N123" i="55" s="1"/>
  <c r="O123" i="55" s="1"/>
  <c r="N94" i="55" a="1"/>
  <c r="N94" i="55" s="1"/>
  <c r="O94" i="55" s="1"/>
  <c r="N99" i="55" a="1"/>
  <c r="N99" i="55" s="1"/>
  <c r="O99" i="55" s="1"/>
  <c r="P42" i="59"/>
  <c r="Q147" i="55"/>
  <c r="L30" i="55" a="1"/>
  <c r="L30" i="55" s="1"/>
  <c r="S35" i="55"/>
  <c r="T35" i="55" s="1"/>
  <c r="O138" i="55"/>
  <c r="O64" i="55"/>
  <c r="H30" i="55"/>
  <c r="N23" i="59"/>
  <c r="T60" i="55"/>
  <c r="H110" i="55"/>
  <c r="O85" i="55"/>
  <c r="V21" i="59"/>
  <c r="O51" i="55"/>
  <c r="L10" i="59"/>
  <c r="O29" i="55"/>
  <c r="O95" i="55"/>
  <c r="R17" i="55"/>
  <c r="T17" i="55" s="1"/>
  <c r="R59" i="55"/>
  <c r="T59" i="55" s="1"/>
  <c r="T67" i="55"/>
  <c r="O96" i="55"/>
  <c r="T21" i="59"/>
  <c r="C14" i="59"/>
  <c r="L44" i="55" a="1"/>
  <c r="L44" i="55" s="1"/>
  <c r="O49" i="55"/>
  <c r="O84" i="55"/>
  <c r="D13" i="57"/>
  <c r="E5" i="57"/>
  <c r="E6" i="57" s="1"/>
  <c r="E7" i="57" s="1"/>
  <c r="E8" i="57" s="1"/>
  <c r="E9" i="57" s="1"/>
  <c r="E10" i="57" s="1"/>
  <c r="E11" i="57" s="1"/>
  <c r="E12" i="57" s="1"/>
  <c r="O30" i="55"/>
  <c r="L72" i="55" a="1"/>
  <c r="L72" i="55" s="1"/>
  <c r="K72" i="55" a="1"/>
  <c r="K72" i="55" s="1"/>
  <c r="G72" i="55"/>
  <c r="H72" i="55"/>
  <c r="G43" i="55"/>
  <c r="K43" i="55" a="1"/>
  <c r="K43" i="55" s="1"/>
  <c r="H43" i="55"/>
  <c r="L43" i="55" a="1"/>
  <c r="L43" i="55" s="1"/>
  <c r="K129" i="55" a="1"/>
  <c r="K129" i="55" s="1"/>
  <c r="H129" i="55"/>
  <c r="G129" i="55"/>
  <c r="L129" i="55" a="1"/>
  <c r="L129" i="55" s="1"/>
  <c r="K46" i="55" a="1"/>
  <c r="K46" i="55" s="1"/>
  <c r="K63" i="55" a="1"/>
  <c r="K63" i="55" s="1"/>
  <c r="K11" i="55" a="1"/>
  <c r="K11" i="55" s="1"/>
  <c r="K99" i="55" a="1"/>
  <c r="K99" i="55" s="1"/>
  <c r="K14" i="55" a="1"/>
  <c r="K14" i="55" s="1"/>
  <c r="K78" i="55" a="1"/>
  <c r="K78" i="55" s="1"/>
  <c r="K113" i="55" a="1"/>
  <c r="K113" i="55" s="1"/>
  <c r="K34" i="55" a="1"/>
  <c r="K34" i="55" s="1"/>
  <c r="K10" i="55" a="1"/>
  <c r="K10" i="55" s="1"/>
  <c r="K105" i="55" a="1"/>
  <c r="K105" i="55" s="1"/>
  <c r="K123" i="55" a="1"/>
  <c r="K123" i="55" s="1"/>
  <c r="K114" i="55" a="1"/>
  <c r="K114" i="55" s="1"/>
  <c r="K58" i="55" a="1"/>
  <c r="K58" i="55" s="1"/>
  <c r="K104" i="55" a="1"/>
  <c r="K104" i="55" s="1"/>
  <c r="K93" i="55" a="1"/>
  <c r="K93" i="55" s="1"/>
  <c r="K68" i="55" a="1"/>
  <c r="K68" i="55" s="1"/>
  <c r="K66" i="55" a="1"/>
  <c r="K66" i="55" s="1"/>
  <c r="K121" i="55" a="1"/>
  <c r="K121" i="55" s="1"/>
  <c r="K90" i="55" a="1"/>
  <c r="K90" i="55" s="1"/>
  <c r="K70" i="55" a="1"/>
  <c r="K70" i="55" s="1"/>
  <c r="K48" i="55" a="1"/>
  <c r="K48" i="55" s="1"/>
  <c r="K39" i="55" a="1"/>
  <c r="K39" i="55" s="1"/>
  <c r="K134" i="55" a="1"/>
  <c r="K134" i="55" s="1"/>
  <c r="K115" i="55" a="1"/>
  <c r="K115" i="55" s="1"/>
  <c r="K86" i="55" a="1"/>
  <c r="K86" i="55" s="1"/>
  <c r="K65" i="55" a="1"/>
  <c r="K65" i="55" s="1"/>
  <c r="K7" i="55" a="1"/>
  <c r="K7" i="55" s="1"/>
  <c r="K75" i="55" a="1"/>
  <c r="K75" i="55" s="1"/>
  <c r="K74" i="55" a="1"/>
  <c r="K74" i="55" s="1"/>
  <c r="K59" i="55" a="1"/>
  <c r="K59" i="55" s="1"/>
  <c r="K50" i="55" a="1"/>
  <c r="K50" i="55" s="1"/>
  <c r="K67" i="55" a="1"/>
  <c r="K67" i="55" s="1"/>
  <c r="K119" i="55" a="1"/>
  <c r="K119" i="55" s="1"/>
  <c r="K51" i="55" a="1"/>
  <c r="K51" i="55" s="1"/>
  <c r="K41" i="55" a="1"/>
  <c r="K41" i="55" s="1"/>
  <c r="K117" i="55" a="1"/>
  <c r="K117" i="55" s="1"/>
  <c r="K44" i="55" a="1"/>
  <c r="K44" i="55" s="1"/>
  <c r="K9" i="55" a="1"/>
  <c r="K9" i="55" s="1"/>
  <c r="K60" i="55" a="1"/>
  <c r="K60" i="55" s="1"/>
  <c r="K25" i="55" a="1"/>
  <c r="K25" i="55" s="1"/>
  <c r="K141" i="55" a="1"/>
  <c r="K141" i="55" s="1"/>
  <c r="K138" i="55" a="1"/>
  <c r="K138" i="55" s="1"/>
  <c r="K136" i="55" a="1"/>
  <c r="K136" i="55" s="1"/>
  <c r="K69" i="55" a="1"/>
  <c r="K69" i="55" s="1"/>
  <c r="K91" i="55" a="1"/>
  <c r="K91" i="55" s="1"/>
  <c r="K20" i="55" a="1"/>
  <c r="K20" i="55" s="1"/>
  <c r="K61" i="55" a="1"/>
  <c r="K61" i="55" s="1"/>
  <c r="K38" i="55" a="1"/>
  <c r="K38" i="55" s="1"/>
  <c r="K131" i="55" a="1"/>
  <c r="K131" i="55" s="1"/>
  <c r="K2" i="55"/>
  <c r="K111" i="55" a="1"/>
  <c r="K111" i="55" s="1"/>
  <c r="K37" i="55" a="1"/>
  <c r="K37" i="55" s="1"/>
  <c r="K140" i="55" a="1"/>
  <c r="K140" i="55" s="1"/>
  <c r="K84" i="55" a="1"/>
  <c r="K84" i="55" s="1"/>
  <c r="K15" i="55" a="1"/>
  <c r="K15" i="55" s="1"/>
  <c r="K33" i="55" a="1"/>
  <c r="K33" i="55" s="1"/>
  <c r="K62" i="55" a="1"/>
  <c r="K62" i="55" s="1"/>
  <c r="K83" i="55" a="1"/>
  <c r="K83" i="55" s="1"/>
  <c r="K116" i="55" a="1"/>
  <c r="K116" i="55" s="1"/>
  <c r="K64" i="55" a="1"/>
  <c r="K64" i="55" s="1"/>
  <c r="K29" i="55" a="1"/>
  <c r="K29" i="55" s="1"/>
  <c r="K45" i="55" a="1"/>
  <c r="K45" i="55" s="1"/>
  <c r="K17" i="55" a="1"/>
  <c r="K17" i="55" s="1"/>
  <c r="K47" i="55" a="1"/>
  <c r="K47" i="55" s="1"/>
  <c r="K137" i="55" a="1"/>
  <c r="K137" i="55" s="1"/>
  <c r="K109" i="55" a="1"/>
  <c r="K109" i="55" s="1"/>
  <c r="K19" i="55" a="1"/>
  <c r="K19" i="55" s="1"/>
  <c r="K35" i="55" a="1"/>
  <c r="K35" i="55" s="1"/>
  <c r="K79" i="55" a="1"/>
  <c r="K79" i="55" s="1"/>
  <c r="K139" i="55" a="1"/>
  <c r="K139" i="55" s="1"/>
  <c r="K98" i="55" a="1"/>
  <c r="K98" i="55" s="1"/>
  <c r="K96" i="55" a="1"/>
  <c r="K96" i="55" s="1"/>
  <c r="K85" i="55" a="1"/>
  <c r="K85" i="55" s="1"/>
  <c r="K36" i="55" a="1"/>
  <c r="K36" i="55" s="1"/>
  <c r="K102" i="55" a="1"/>
  <c r="K102" i="55" s="1"/>
  <c r="K106" i="55" a="1"/>
  <c r="K106" i="55" s="1"/>
  <c r="K77" i="55" a="1"/>
  <c r="K77" i="55" s="1"/>
  <c r="K100" i="55" a="1"/>
  <c r="K100" i="55" s="1"/>
  <c r="K125" i="55" a="1"/>
  <c r="K125" i="55" s="1"/>
  <c r="K108" i="55" a="1"/>
  <c r="K108" i="55" s="1"/>
  <c r="K132" i="55" a="1"/>
  <c r="K132" i="55" s="1"/>
  <c r="K80" i="55" a="1"/>
  <c r="K80" i="55" s="1"/>
  <c r="K94" i="55" a="1"/>
  <c r="K94" i="55" s="1"/>
  <c r="K53" i="55" a="1"/>
  <c r="K53" i="55" s="1"/>
  <c r="K56" i="55" a="1"/>
  <c r="K56" i="55" s="1"/>
  <c r="K135" i="55" a="1"/>
  <c r="K135" i="55" s="1"/>
  <c r="K120" i="55" a="1"/>
  <c r="K120" i="55" s="1"/>
  <c r="K107" i="55" a="1"/>
  <c r="K107" i="55" s="1"/>
  <c r="K147" i="55"/>
  <c r="K27" i="55" a="1"/>
  <c r="K27" i="55" s="1"/>
  <c r="K40" i="55" a="1"/>
  <c r="K40" i="55" s="1"/>
  <c r="K81" i="55" a="1"/>
  <c r="K81" i="55" s="1"/>
  <c r="K8" i="55" a="1"/>
  <c r="K8" i="55" s="1"/>
  <c r="K57" i="55" a="1"/>
  <c r="K57" i="55" s="1"/>
  <c r="K130" i="55" a="1"/>
  <c r="K130" i="55" s="1"/>
  <c r="K55" i="55" a="1"/>
  <c r="K55" i="55" s="1"/>
  <c r="K126" i="55" a="1"/>
  <c r="K126" i="55" s="1"/>
  <c r="K16" i="55" a="1"/>
  <c r="K16" i="55" s="1"/>
  <c r="K49" i="55" a="1"/>
  <c r="K49" i="55" s="1"/>
  <c r="K28" i="55" a="1"/>
  <c r="K28" i="55" s="1"/>
  <c r="K103" i="55" a="1"/>
  <c r="K103" i="55" s="1"/>
  <c r="K82" i="55" a="1"/>
  <c r="K82" i="55" s="1"/>
  <c r="K118" i="55" a="1"/>
  <c r="K118" i="55" s="1"/>
  <c r="K52" i="55" a="1"/>
  <c r="K52" i="55" s="1"/>
  <c r="K23" i="55" a="1"/>
  <c r="K23" i="55" s="1"/>
  <c r="K133" i="55" a="1"/>
  <c r="K133" i="55" s="1"/>
  <c r="K87" i="55" a="1"/>
  <c r="K87" i="55" s="1"/>
  <c r="K71" i="55" a="1"/>
  <c r="K71" i="55" s="1"/>
  <c r="K112" i="55" a="1"/>
  <c r="K112" i="55" s="1"/>
  <c r="K95" i="55" a="1"/>
  <c r="K95" i="55" s="1"/>
  <c r="K13" i="55" a="1"/>
  <c r="K13" i="55" s="1"/>
  <c r="K101" i="55" a="1"/>
  <c r="K101" i="55" s="1"/>
  <c r="K73" i="55" a="1"/>
  <c r="K73" i="55" s="1"/>
  <c r="K110" i="55" a="1"/>
  <c r="K110" i="55" s="1"/>
  <c r="O81" i="55"/>
  <c r="E6" i="26"/>
  <c r="F7" i="26"/>
  <c r="K97" i="55" a="1"/>
  <c r="K97" i="55" s="1"/>
  <c r="O50" i="55"/>
  <c r="K89" i="55" a="1"/>
  <c r="K89" i="55" s="1"/>
  <c r="K92" i="55" a="1"/>
  <c r="K92" i="55" s="1"/>
  <c r="O9" i="55"/>
  <c r="L7" i="55" a="1"/>
  <c r="L7" i="55" s="1"/>
  <c r="L22" i="55" a="1"/>
  <c r="L22" i="55" s="1"/>
  <c r="F14" i="59" a="1"/>
  <c r="F14" i="59" s="1"/>
  <c r="L94" i="55" a="1"/>
  <c r="L94" i="55" s="1"/>
  <c r="L74" i="55" a="1"/>
  <c r="L74" i="55" s="1"/>
  <c r="L63" i="55" a="1"/>
  <c r="L63" i="55" s="1"/>
  <c r="L124" i="55" a="1"/>
  <c r="L124" i="55" s="1"/>
  <c r="L136" i="55" a="1"/>
  <c r="L136" i="55" s="1"/>
  <c r="O71" i="55"/>
  <c r="L109" i="55" a="1"/>
  <c r="L109" i="55" s="1"/>
  <c r="L106" i="55" a="1"/>
  <c r="L106" i="55" s="1"/>
  <c r="H106" i="55"/>
  <c r="G131" i="55"/>
  <c r="H131" i="55"/>
  <c r="L28" i="55" a="1"/>
  <c r="L28" i="55" s="1"/>
  <c r="G28" i="55"/>
  <c r="H28" i="55"/>
  <c r="L50" i="55" a="1"/>
  <c r="L50" i="55" s="1"/>
  <c r="L84" i="55" a="1"/>
  <c r="L84" i="55" s="1"/>
  <c r="L24" i="55" a="1"/>
  <c r="L24" i="55" s="1"/>
  <c r="L65" i="55" a="1"/>
  <c r="L65" i="55" s="1"/>
  <c r="L105" i="55" a="1"/>
  <c r="L105" i="55" s="1"/>
  <c r="O35" i="55"/>
  <c r="O47" i="55"/>
  <c r="K26" i="55" a="1"/>
  <c r="K26" i="55" s="1"/>
  <c r="G14" i="55"/>
  <c r="H14" i="55"/>
  <c r="L132" i="55" a="1"/>
  <c r="L132" i="55" s="1"/>
  <c r="L86" i="55" a="1"/>
  <c r="L86" i="55" s="1"/>
  <c r="L49" i="55" a="1"/>
  <c r="L49" i="55" s="1"/>
  <c r="T21" i="55"/>
  <c r="L71" i="55" a="1"/>
  <c r="L71" i="55" s="1"/>
  <c r="L118" i="55" a="1"/>
  <c r="L118" i="55" s="1"/>
  <c r="H80" i="55"/>
  <c r="L80" i="55" a="1"/>
  <c r="L80" i="55" s="1"/>
  <c r="K24" i="55" a="1"/>
  <c r="K24" i="55" s="1"/>
  <c r="G12" i="55"/>
  <c r="H12" i="55"/>
  <c r="K88" i="55" a="1"/>
  <c r="K88" i="55" s="1"/>
  <c r="H88" i="55"/>
  <c r="G88" i="55"/>
  <c r="O37" i="55"/>
  <c r="G57" i="55"/>
  <c r="H57" i="55"/>
  <c r="G36" i="55"/>
  <c r="L36" i="55" a="1"/>
  <c r="L36" i="55" s="1"/>
  <c r="L92" i="55" a="1"/>
  <c r="L92" i="55" s="1"/>
  <c r="H116" i="55"/>
  <c r="G116" i="55"/>
  <c r="H130" i="55"/>
  <c r="G130" i="55"/>
  <c r="O34" i="55"/>
  <c r="O104" i="55"/>
  <c r="O133" i="55"/>
  <c r="L69" i="55" a="1"/>
  <c r="L69" i="55" s="1"/>
  <c r="L29" i="55" a="1"/>
  <c r="L29" i="55" s="1"/>
  <c r="L112" i="55" a="1"/>
  <c r="L112" i="55" s="1"/>
  <c r="L122" i="55" a="1"/>
  <c r="L122" i="55" s="1"/>
  <c r="O46" i="55"/>
  <c r="T53" i="55"/>
  <c r="H114" i="55"/>
  <c r="G114" i="55"/>
  <c r="G77" i="55"/>
  <c r="H77" i="55"/>
  <c r="G22" i="55"/>
  <c r="K22" i="55" a="1"/>
  <c r="K22" i="55" s="1"/>
  <c r="H76" i="55"/>
  <c r="K76" i="55" a="1"/>
  <c r="K76" i="55" s="1"/>
  <c r="K122" i="55" a="1"/>
  <c r="K122" i="55" s="1"/>
  <c r="L76" i="55" a="1"/>
  <c r="L76" i="55" s="1"/>
  <c r="L137" i="55" a="1"/>
  <c r="L137" i="55" s="1"/>
  <c r="L33" i="55" a="1"/>
  <c r="L33" i="55" s="1"/>
  <c r="L127" i="55" a="1"/>
  <c r="L127" i="55" s="1"/>
  <c r="L103" i="55" a="1"/>
  <c r="L103" i="55" s="1"/>
  <c r="O20" i="55"/>
  <c r="O24" i="55"/>
  <c r="L88" i="55" a="1"/>
  <c r="L88" i="55" s="1"/>
  <c r="L27" i="55" a="1"/>
  <c r="L27" i="55" s="1"/>
  <c r="O16" i="55"/>
  <c r="H87" i="55"/>
  <c r="G87" i="55"/>
  <c r="K127" i="55" a="1"/>
  <c r="K127" i="55" s="1"/>
  <c r="H127" i="55"/>
  <c r="M141" i="55" a="1"/>
  <c r="M141" i="55" s="1"/>
  <c r="O141" i="55" s="1"/>
  <c r="M92" i="55" a="1"/>
  <c r="M92" i="55" s="1"/>
  <c r="O92" i="55" s="1"/>
  <c r="M65" i="55" a="1"/>
  <c r="M65" i="55" s="1"/>
  <c r="O65" i="55" s="1"/>
  <c r="M80" i="55" a="1"/>
  <c r="M80" i="55" s="1"/>
  <c r="O80" i="55" s="1"/>
  <c r="U33" i="59"/>
  <c r="R147" i="55" l="1"/>
  <c r="S2" i="55"/>
  <c r="S147" i="55"/>
  <c r="G2" i="55"/>
  <c r="N14" i="59"/>
  <c r="L14" i="59"/>
  <c r="L28" i="59"/>
  <c r="N28" i="59"/>
  <c r="V28" i="59"/>
  <c r="T28" i="59"/>
  <c r="T42" i="59"/>
  <c r="V42" i="59"/>
  <c r="N42" i="59"/>
  <c r="L42" i="59"/>
  <c r="V14" i="59"/>
  <c r="T14" i="59"/>
  <c r="F6" i="26"/>
  <c r="G7" i="26"/>
  <c r="H147" i="55"/>
  <c r="H2" i="55"/>
  <c r="G147" i="55"/>
  <c r="G148" i="55"/>
  <c r="G3" i="55"/>
  <c r="T147" i="55" l="1"/>
  <c r="T2" i="55"/>
  <c r="H148" i="55"/>
  <c r="H3" i="55"/>
  <c r="G6" i="26"/>
  <c r="H7" i="26"/>
  <c r="H6" i="26" l="1"/>
  <c r="I7" i="26"/>
  <c r="I6" i="26" l="1"/>
  <c r="J7" i="26"/>
  <c r="K7" i="26" l="1"/>
  <c r="J6" i="26"/>
  <c r="K6" i="26" l="1"/>
  <c r="L7" i="26"/>
  <c r="M7" i="26" l="1"/>
  <c r="L6" i="26"/>
  <c r="N7" i="26" l="1"/>
  <c r="M6" i="26"/>
  <c r="N6" i="26" l="1"/>
  <c r="O7" i="26"/>
  <c r="O6" i="26" l="1"/>
  <c r="P7" i="26"/>
  <c r="Q7" i="26" l="1"/>
  <c r="P6" i="26"/>
  <c r="Q6" i="26" l="1"/>
  <c r="R7" i="26"/>
  <c r="S7" i="26" l="1"/>
  <c r="R6" i="26"/>
  <c r="T7" i="26" l="1"/>
  <c r="S6" i="26"/>
  <c r="U7" i="26" l="1"/>
  <c r="T6" i="26"/>
  <c r="V7" i="26" l="1"/>
  <c r="U6" i="26"/>
  <c r="W7" i="26" l="1"/>
  <c r="V6" i="26"/>
  <c r="X7" i="26" l="1"/>
  <c r="W6" i="26"/>
  <c r="X6" i="26" l="1"/>
  <c r="Y7" i="26"/>
  <c r="Z7" i="26" l="1"/>
  <c r="Y6" i="26"/>
  <c r="Z6" i="26" l="1"/>
  <c r="AA7" i="26"/>
  <c r="AB7" i="26" l="1"/>
  <c r="AA6" i="26"/>
  <c r="AC7" i="26" l="1"/>
  <c r="AB6" i="26"/>
  <c r="AD7" i="26" l="1"/>
  <c r="AC6" i="26"/>
  <c r="AD6" i="26" l="1"/>
  <c r="AE7" i="26"/>
  <c r="AE6" i="26" l="1"/>
  <c r="AF7" i="26"/>
  <c r="AF6" i="26" l="1"/>
  <c r="AG7" i="26"/>
  <c r="AH7" i="26" l="1"/>
  <c r="AG6" i="26"/>
  <c r="AI7" i="26" l="1"/>
  <c r="AH6" i="26"/>
  <c r="AI6" i="26" l="1"/>
  <c r="AJ7"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<sst xmlns="http://schemas.openxmlformats.org/spreadsheetml/2006/main" count="3722" uniqueCount="1230">
  <si>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</si>
  <si>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</si>
  <si>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</si>
  <si>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</si>
  <si>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</si>
  <si>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</si>
  <si>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</si>
  <si>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</si>
  <si>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</si>
  <si>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</si>
  <si>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</si>
  <si>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</si>
  <si>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</si>
  <si>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</si>
  <si>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</si>
  <si>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</si>
  <si>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</si>
  <si>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</si>
  <si>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</si>
  <si>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</si>
  <si>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</si>
  <si>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</si>
  <si>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</si>
  <si>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</si>
  <si>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</si>
  <si>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</si>
  <si>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</si>
  <si>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</si>
  <si>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</si>
  <si>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</si>
  <si>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</si>
  <si>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</si>
  <si>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</si>
  <si>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</si>
  <si>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</si>
  <si>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</si>
  <si>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</si>
  <si>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</si>
  <si>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</si>
  <si>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</si>
  <si>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</si>
  <si>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</si>
  <si>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</si>
  <si>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</si>
  <si>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</si>
  <si>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</si>
  <si>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</si>
  <si>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</si>
  <si>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</si>
  <si>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</si>
  <si>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</si>
  <si>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</si>
  <si>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</si>
  <si>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</si>
  <si>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</si>
  <si>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</si>
  <si>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</si>
  <si>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</si>
  <si>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</si>
  <si>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</si>
  <si>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</si>
  <si>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</si>
  <si>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</si>
  <si>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</si>
  <si>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</si>
  <si>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</si>
  <si>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</si>
  <si>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</si>
  <si>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</si>
  <si>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</si>
  <si>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</si>
  <si>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</si>
  <si>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</si>
  <si>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</si>
  <si>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</si>
  <si>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</si>
  <si>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</si>
  <si>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</si>
  <si>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</si>
  <si>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</si>
  <si>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</si>
  <si>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</si>
  <si>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</si>
  <si>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</si>
  <si>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</si>
  <si>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</si>
  <si>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</si>
  <si>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</si>
  <si>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</si>
  <si>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</si>
  <si>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</si>
  <si>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</si>
  <si>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</si>
  <si>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</si>
  <si>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</si>
  <si>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</si>
  <si>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</si>
  <si>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</si>
  <si>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</si>
  <si>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</si>
  <si>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</si>
  <si>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</si>
  <si>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</si>
  <si>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</si>
  <si>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</si>
  <si>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</si>
  <si>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</si>
  <si>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</si>
  <si>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</si>
  <si>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</si>
  <si>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</si>
  <si>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</si>
  <si>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</si>
  <si>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</si>
  <si>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</si>
  <si>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</si>
  <si>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</si>
  <si>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</si>
  <si>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</si>
  <si>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</si>
  <si>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</si>
  <si>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</si>
  <si>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</si>
  <si>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</si>
  <si>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</si>
  <si>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</si>
  <si>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</si>
  <si>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</si>
  <si>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</si>
  <si>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</si>
  <si>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</si>
  <si>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</si>
  <si>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</si>
  <si>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</si>
  <si>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</si>
  <si>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</si>
  <si>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</si>
  <si>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</si>
  <si>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</si>
  <si>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</si>
  <si>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</si>
  <si>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</si>
  <si>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</si>
  <si>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</si>
  <si>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</si>
  <si>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</si>
  <si>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</si>
  <si>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</si>
  <si>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</si>
  <si>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</si>
  <si>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</si>
  <si>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</si>
  <si>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</si>
  <si>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</si>
  <si>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</si>
  <si>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</si>
  <si>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</si>
  <si>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</si>
  <si>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</si>
  <si>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</si>
  <si>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</si>
  <si>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</si>
  <si>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</si>
  <si>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</si>
  <si>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</si>
  <si>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</si>
  <si>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</si>
  <si>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</si>
  <si>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</si>
  <si>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</si>
  <si>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</si>
  <si>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</si>
  <si>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</si>
  <si>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</si>
  <si>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</si>
  <si>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</si>
  <si>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</si>
  <si>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</si>
  <si>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</si>
  <si>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</si>
  <si>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</si>
  <si>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</si>
  <si>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</si>
  <si>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</si>
  <si>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</si>
  <si>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</si>
  <si>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</si>
  <si>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</si>
  <si>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</si>
  <si>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</si>
  <si>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</si>
  <si>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</si>
  <si>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</si>
  <si>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</si>
  <si>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</si>
  <si>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</si>
  <si>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</si>
  <si>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</si>
  <si>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</si>
  <si>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</si>
  <si>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</si>
  <si>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</si>
  <si>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</si>
  <si>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</si>
  <si>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</si>
  <si>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</si>
  <si>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</si>
  <si>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</si>
  <si>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</si>
  <si>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</si>
  <si>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</si>
  <si>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</si>
  <si>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</si>
  <si>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</si>
  <si>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</si>
  <si>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</si>
  <si>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</si>
  <si>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</si>
  <si>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</si>
  <si>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</si>
  <si>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</si>
  <si>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</si>
  <si>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</si>
  <si>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</si>
  <si>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</si>
  <si>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</si>
  <si>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</si>
  <si>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</si>
  <si>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</si>
  <si>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</si>
  <si>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</si>
  <si>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</si>
  <si>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</si>
  <si>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</si>
  <si>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</si>
  <si>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</si>
  <si>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</si>
  <si>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</si>
  <si>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</si>
  <si>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</si>
  <si>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</si>
  <si>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</si>
  <si>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</si>
  <si>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</si>
  <si>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</si>
  <si>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</si>
  <si>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</si>
  <si>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</si>
  <si>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</si>
  <si>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</si>
  <si>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</si>
  <si>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</si>
  <si>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</si>
  <si>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</si>
  <si>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</si>
  <si>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</si>
  <si>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</si>
  <si>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</si>
  <si>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</si>
  <si>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</si>
  <si>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</si>
  <si>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</si>
  <si>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</si>
  <si>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</si>
  <si>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</si>
  <si>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</si>
  <si>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</si>
  <si>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</si>
  <si>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</si>
  <si>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</si>
  <si>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</si>
  <si>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</si>
  <si>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</si>
  <si>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</si>
  <si>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</si>
  <si>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</si>
  <si>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</si>
  <si>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</si>
  <si>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</si>
  <si>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</si>
  <si>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</si>
  <si>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</si>
  <si>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</si>
  <si>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</si>
  <si>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</si>
  <si>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</si>
  <si>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</si>
  <si>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</si>
  <si>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</si>
  <si>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</si>
  <si>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</si>
  <si>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</si>
  <si>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</si>
  <si>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</si>
  <si>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</si>
  <si>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</si>
  <si>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</si>
  <si>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</si>
  <si>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</si>
  <si>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</si>
  <si>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</si>
  <si>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</si>
  <si>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</si>
  <si>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</si>
  <si>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</si>
  <si>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</si>
  <si>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</si>
  <si>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</si>
  <si>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KRK-ACP-001</t>
  </si>
  <si>
    <t>ACLK upto 1GHz/800MHz</t>
  </si>
  <si>
    <t>Deepak Bhasin</t>
  </si>
  <si>
    <t>Clock Test</t>
  </si>
  <si>
    <t>Manual</t>
  </si>
  <si>
    <t>Run tests at varying ACLK upto 1GHz</t>
  </si>
  <si>
    <t>This cell has an external reference that can't be shown or edited. Editing this cell will remove the external reference.</t>
  </si>
  <si>
    <t>Tserver</t>
  </si>
  <si>
    <t>KRK-ACP-002</t>
  </si>
  <si>
    <t>Supports all SHUBCLK and ACLK ratios</t>
  </si>
  <si>
    <t>Clock test</t>
  </si>
  <si>
    <t>Run tests at varying SHUBCLK and ACLK ratios</t>
  </si>
  <si>
    <t>KRK-ACP-003</t>
  </si>
  <si>
    <t>ACP Clock Enable/Disable</t>
  </si>
  <si>
    <t>acp_dma_clk_en_dis</t>
  </si>
  <si>
    <t>ACP Clock Enable Disable</t>
  </si>
  <si>
    <t>acpaz67</t>
  </si>
  <si>
    <t>KRK-ACP-004</t>
  </si>
  <si>
    <t>ACP Dynamic clock gating</t>
  </si>
  <si>
    <t>VAD clock gating</t>
  </si>
  <si>
    <t>Clock gate the PDM/VAD clocks</t>
  </si>
  <si>
    <t>acpaz68</t>
  </si>
  <si>
    <t>enable_cg=0-15 disable_cg=0-15</t>
  </si>
  <si>
    <t>KRK-ACP-005</t>
  </si>
  <si>
    <t>ACP PGFSM power gating</t>
  </si>
  <si>
    <t>PGFSM</t>
  </si>
  <si>
    <t>acp_pgfsm_dsp_dma_acc</t>
  </si>
  <si>
    <t>acpaz63.1</t>
  </si>
  <si>
    <t>KRK-ACP-006</t>
  </si>
  <si>
    <t>CAC generation (8 signals)</t>
  </si>
  <si>
    <t>acp_cac_gen_check</t>
  </si>
  <si>
    <t>CAC indicator test</t>
  </si>
  <si>
    <t>acpaz69.1</t>
  </si>
  <si>
    <t>targ_mem_type=1</t>
  </si>
  <si>
    <t>KRK-ACP-007</t>
  </si>
  <si>
    <t>ACP memory power gating</t>
  </si>
  <si>
    <t>acp_pgmem_phx_all_banks</t>
  </si>
  <si>
    <t>ACP Deep sleep all memory banks</t>
  </si>
  <si>
    <t>acpaz292.1-2</t>
  </si>
  <si>
    <t>KRK-ACP-008</t>
  </si>
  <si>
    <t>Soft reset support to ACP,DSP,DMA,AZ</t>
  </si>
  <si>
    <t>Reset Test</t>
  </si>
  <si>
    <t>Soft Reset with AZ transfer</t>
  </si>
  <si>
    <t>acp_dma_aud_soft_reset</t>
  </si>
  <si>
    <t>ACP Soft reset mode 0 during DMA transfer</t>
  </si>
  <si>
    <t>acpaz31.1</t>
  </si>
  <si>
    <t>DMA Soft reset mode 0 during DMA transfer</t>
  </si>
  <si>
    <t>acpaz31.2</t>
  </si>
  <si>
    <t>acp_dsp_soft_reset</t>
  </si>
  <si>
    <t>DSP Soft reset mode 0 during DMA transfer</t>
  </si>
  <si>
    <t>acpaz32.1</t>
  </si>
  <si>
    <t>N/A, -dsp_num=2</t>
  </si>
  <si>
    <t>Hard reset support to ACP,DSP,DMA,AZ</t>
  </si>
  <si>
    <t>acp_dma_hard_reset</t>
  </si>
  <si>
    <t>Hard Reset with DMA transfer</t>
  </si>
  <si>
    <t>acpaz34</t>
  </si>
  <si>
    <t>ACP Soft reset mode 1 during DMA transfer</t>
  </si>
  <si>
    <t>acpaz31.3</t>
  </si>
  <si>
    <t>DMA Soft reset mode 1 during DMA transfer</t>
  </si>
  <si>
    <t>acpaz31.4</t>
  </si>
  <si>
    <t>DSP Soft reset mode 1 during DMA transfer</t>
  </si>
  <si>
    <t>acpaz32.2</t>
  </si>
  <si>
    <t>KRK-ACP-009</t>
  </si>
  <si>
    <t>8 independent channels</t>
  </si>
  <si>
    <t>DMA</t>
  </si>
  <si>
    <t>acp_multithreaded_dma_test</t>
  </si>
  <si>
    <t>DMA with all channels active with maximum transfer count (with transfers to DSP DRAM, ACP scratch memory and system memory)</t>
  </si>
  <si>
    <t>acpaz4.1-3</t>
  </si>
  <si>
    <t>KRK-ACP-010</t>
  </si>
  <si>
    <t>64-4096 programmable descriptors</t>
  </si>
  <si>
    <t>acp_dma_1chl_1desc</t>
  </si>
  <si>
    <t>DMA with single channel single descriptor</t>
  </si>
  <si>
    <t>acpaz2</t>
  </si>
  <si>
    <t>targ_mem_type=1 ch_num=0-7 desc_num=0-4095</t>
  </si>
  <si>
    <t>acp_dma_1chl_mul_desc</t>
  </si>
  <si>
    <t>DMA with single channel multiple descriptor</t>
  </si>
  <si>
    <t>acpaz3.1-4</t>
  </si>
  <si>
    <t>targ_mem_type=1 ch_num=0-7</t>
  </si>
  <si>
    <t>KRK-ACP-011</t>
  </si>
  <si>
    <t>Descriptor/channel transfer counts</t>
  </si>
  <si>
    <t>Maximum DMA channel transfer test</t>
  </si>
  <si>
    <t>KRK-ACP-012</t>
  </si>
  <si>
    <t>Max transfer size 512KB</t>
  </si>
  <si>
    <t>KRK-ACP-013</t>
  </si>
  <si>
    <t>Completion on Bus error</t>
  </si>
  <si>
    <t>acp_dma_err_config</t>
  </si>
  <si>
    <t>DMA Error config (multiple sub-tests)</t>
  </si>
  <si>
    <t>acpaz7.1-5</t>
  </si>
  <si>
    <t>KRK-ACP-014</t>
  </si>
  <si>
    <t>Graceful exit in middle of transfer upon channel reset</t>
  </si>
  <si>
    <t>acp_dma_reset_circ_dma</t>
  </si>
  <si>
    <t>channel graceful reset with circular DMA</t>
  </si>
  <si>
    <t>acpaz5</t>
  </si>
  <si>
    <t>KRK-ACP-015</t>
  </si>
  <si>
    <t>Programmable interrupt upon completion</t>
  </si>
  <si>
    <t>DMA interrupt on completion</t>
  </si>
  <si>
    <t>KRK-ACP-016</t>
  </si>
  <si>
    <t>Programmable channel priorities</t>
  </si>
  <si>
    <t>Assign random priorities and check nothing is broken
Add address ranges in DMA to access increased memory,
execute with increased descriptors</t>
  </si>
  <si>
    <t>acp_dma_comb_1ch_1desc</t>
  </si>
  <si>
    <t>Direct DMA transfer path ways between DRAM and SRAM and Viceversa.</t>
  </si>
  <si>
    <t>acpaz203</t>
  </si>
  <si>
    <t>targ_mem_type=0-11 ch_num=0-7 desc_num=0-4095</t>
  </si>
  <si>
    <t>KRK-ACP-017</t>
  </si>
  <si>
    <t>DMA access to DRAM</t>
  </si>
  <si>
    <t>acp_sha_dma_idram_access</t>
  </si>
  <si>
    <t>acpaz27.1</t>
  </si>
  <si>
    <t>KRK-ACP-018</t>
  </si>
  <si>
    <t>DMA Position tracking counters</t>
  </si>
  <si>
    <t>Position tracking counters</t>
  </si>
  <si>
    <t>KRK-ACP-019</t>
  </si>
  <si>
    <t>DSP access to SMN Space</t>
  </si>
  <si>
    <t>DSP Test</t>
  </si>
  <si>
    <t>acp_master_loopback</t>
  </si>
  <si>
    <t>SMN Master Interface Test</t>
  </si>
  <si>
    <t>acpaz66</t>
  </si>
  <si>
    <t>KRK-ACP-020</t>
  </si>
  <si>
    <t>DSP access to IRAM/DRAM</t>
  </si>
  <si>
    <t>acp_dsp_syshub_rand_acc_test</t>
  </si>
  <si>
    <t xml:space="preserve">DSP Master Interface Test
</t>
  </si>
  <si>
    <t>acpaz20.1-7</t>
  </si>
  <si>
    <t>targ_mem_type=1-4 -dsp_image_no=10-17, -dsp_num=2</t>
  </si>
  <si>
    <t>KRK-ACP-021</t>
  </si>
  <si>
    <t>DSP can run code from DRAM</t>
  </si>
  <si>
    <t xml:space="preserve">FW image in system memory, need to use all cache windows </t>
  </si>
  <si>
    <t>KRK-ACP-022</t>
  </si>
  <si>
    <t>2 ACP Timer Interrupts</t>
  </si>
  <si>
    <t>Interrupt Test</t>
  </si>
  <si>
    <t>acp_dsp0_all_timers_check</t>
  </si>
  <si>
    <t>ACP Timer interrupt check</t>
  </si>
  <si>
    <t>acpaz41.1-3</t>
  </si>
  <si>
    <t>KRK-ACP-023</t>
  </si>
  <si>
    <t>1 Watchdog timer interrupt</t>
  </si>
  <si>
    <t>acp_watchdog_timer_check</t>
  </si>
  <si>
    <t>1 Watchdog timer interrupt check</t>
  </si>
  <si>
    <t>acpaz42</t>
  </si>
  <si>
    <t>KRK-ACP-024</t>
  </si>
  <si>
    <t>1 Host to DSP interrupt with high/low priority</t>
  </si>
  <si>
    <t>acp_sw_interrupt_check</t>
  </si>
  <si>
    <t>DSP software interrupt check</t>
  </si>
  <si>
    <t>acpaz43.1-3</t>
  </si>
  <si>
    <t>KRK-ACP-025</t>
  </si>
  <si>
    <t>1 Outgoing external level based interrupt for ACP</t>
  </si>
  <si>
    <t>acp_dsp_exception_handler</t>
  </si>
  <si>
    <t>ACP interrupt check</t>
  </si>
  <si>
    <t>acpaz25.1-14</t>
  </si>
  <si>
    <t>dsp_image_no=0-1, -dsp_num=2</t>
  </si>
  <si>
    <t>KRK-ACP-026</t>
  </si>
  <si>
    <t>1 Outgoing interrupt to host for error conditions</t>
  </si>
  <si>
    <t>multi_dsp_bint_intr_handler_test.cpp</t>
  </si>
  <si>
    <t>ACP to host interrupt check for error</t>
  </si>
  <si>
    <t>acpaz94.1-4</t>
  </si>
  <si>
    <t>KRK-ACP-027</t>
  </si>
  <si>
    <t>Internal DSP interrupts for error conditions</t>
  </si>
  <si>
    <t>DSP status and error interrupt
Interrupt routing from different sources to the different pins</t>
  </si>
  <si>
    <t>KRK-ACP-028</t>
  </si>
  <si>
    <t>Internal DSP interrupts for debugging</t>
  </si>
  <si>
    <t>acp_dsp_intr_handler.cpp</t>
  </si>
  <si>
    <t>Internal DSP interrupt for debugging</t>
  </si>
  <si>
    <t>acpaz30.1-5</t>
  </si>
  <si>
    <t>KRK-ACP-029</t>
  </si>
  <si>
    <t>Xtensa internal interrupts</t>
  </si>
  <si>
    <t>KRK-ACP-030</t>
  </si>
  <si>
    <t>ACP Syshub Urgent DMA</t>
  </si>
  <si>
    <t>Syshub Interface</t>
  </si>
  <si>
    <t>Signal asserted if no response from SYSHUB interface</t>
  </si>
  <si>
    <t>KRK-ACP-031</t>
  </si>
  <si>
    <t>ACP Syshub Urgent Interrupt</t>
  </si>
  <si>
    <t>Urgent interrupt check</t>
  </si>
  <si>
    <t>KRK-ACP-032</t>
  </si>
  <si>
    <t>Deep Sleep support</t>
  </si>
  <si>
    <t>acp_deep_sleep_support</t>
  </si>
  <si>
    <t>Deep sleep check</t>
  </si>
  <si>
    <t>acpaz64</t>
  </si>
  <si>
    <t>outstanding_rd_val=0,1,2,3,4,5 -outstanding_wr_val=0,1,2,3,4,5 -sleep_ctrl_val=0,1,2</t>
  </si>
  <si>
    <t>KRK-ACP-033</t>
  </si>
  <si>
    <t>Debug counters</t>
  </si>
  <si>
    <t>acp_axi2axi_page_2mb_features_chk_debug_reg</t>
  </si>
  <si>
    <t>ACP Axi2Axi debug counter check</t>
  </si>
  <si>
    <t>acpaz16.1-3</t>
  </si>
  <si>
    <t>targ_mem_type=1 dscr_addr_sel=0 atu_addr_sel=0</t>
  </si>
  <si>
    <t>KRK-ACP-034</t>
  </si>
  <si>
    <t>Performance counters</t>
  </si>
  <si>
    <t>acp_axi2axi_page_2mb_features_chk_perf_cntr_en</t>
  </si>
  <si>
    <t>ACP Axi2Axi performance counter check</t>
  </si>
  <si>
    <t>acpaz15.1-3</t>
  </si>
  <si>
    <t>KRK-ACP-035</t>
  </si>
  <si>
    <t>1/8/16/32 outstanding transactions</t>
  </si>
  <si>
    <t>KRK-ACP-036</t>
  </si>
  <si>
    <t>Supports 4KB/64KB/2MB page sizes for each 8MB region (64MB is divided into 8-8MB regions)</t>
  </si>
  <si>
    <t>System memory address translation</t>
  </si>
  <si>
    <t>acp_axi2axi_page_rd_wt_test.cpp</t>
  </si>
  <si>
    <t>Axi2Axi transfer with 2MB page size</t>
  </si>
  <si>
    <t>acpaz8.1-3</t>
  </si>
  <si>
    <t>Axi2Axi transfer with 64KB page size</t>
  </si>
  <si>
    <t>acpaz9.1-3</t>
  </si>
  <si>
    <t>Axi2Axi transfer with 4KB page size</t>
  </si>
  <si>
    <t>acpaz10.1-3</t>
  </si>
  <si>
    <t>targ_mem_type=0 dscr_addr_sel=0 atu_addr_sel=0</t>
  </si>
  <si>
    <t>KRK-ACP-037</t>
  </si>
  <si>
    <t>Programmable Address translation tables in DRAM/Scratch RAM</t>
  </si>
  <si>
    <t>KRK-ACP-038</t>
  </si>
  <si>
    <t>Look up table cache invalidation</t>
  </si>
  <si>
    <t>acp_axi2axi_page_2mb_atu_clr_check</t>
  </si>
  <si>
    <t>Axi2Axi ATU clear check</t>
  </si>
  <si>
    <t>acpaz14.1-3</t>
  </si>
  <si>
    <t>KRK-ACP-039</t>
  </si>
  <si>
    <t>Page Enable/disable feature</t>
  </si>
  <si>
    <t>acp_axi2axi_page_2mb_rd_wr_rt_alt_page_dis</t>
  </si>
  <si>
    <t>2MB page transfer with alternate page disabled</t>
  </si>
  <si>
    <t>acpaz11</t>
  </si>
  <si>
    <t>targ_mem_type=1 dscr_addr_sel=1 atu_addr_sel=1</t>
  </si>
  <si>
    <t>acp_axi2axi_page_64kb_rd_wr_all_page_dis</t>
  </si>
  <si>
    <t>64KB page transfer with all pages disabled</t>
  </si>
  <si>
    <t>acpaz12</t>
  </si>
  <si>
    <t>acp_axi2axi_page_4kb_rd_wr_all_page_dis</t>
  </si>
  <si>
    <t>4KB page transfer with all pages disabled</t>
  </si>
  <si>
    <t>acpaz13</t>
  </si>
  <si>
    <t>KRK-ACP-040</t>
  </si>
  <si>
    <t>HiFi3z instruction set</t>
  </si>
  <si>
    <t>Xtensa processing for audio</t>
  </si>
  <si>
    <t>acp_hifi_ext_instr</t>
  </si>
  <si>
    <t>ACP DSP HiFi3z instruction set execute</t>
  </si>
  <si>
    <t>acpaz99</t>
  </si>
  <si>
    <t>dsp_image_no=0-1783, -dsp_num=2</t>
  </si>
  <si>
    <t>KRK-ACP-041</t>
  </si>
  <si>
    <t>16 single-precision float registers, SP float add, mult, parallel mult-add, conv.</t>
  </si>
  <si>
    <t>KRK-ACP-042</t>
  </si>
  <si>
    <t>outbound PIF interface to access external address space</t>
  </si>
  <si>
    <t xml:space="preserve">Firmware writes to all address space </t>
  </si>
  <si>
    <t>KRK-ACP-043</t>
  </si>
  <si>
    <t>inbound PIF interface to access IRAM/DRAM by DMA</t>
  </si>
  <si>
    <t>acp_dsp_ideram_syshub_rand_acc_test</t>
  </si>
  <si>
    <t>Firmware writes to dram/sram/syshub  parallel to IRAM</t>
  </si>
  <si>
    <t>acpaz21.1-7</t>
  </si>
  <si>
    <t>dsp_image_no=1, -dsp_num=2</t>
  </si>
  <si>
    <t>KRK-ACP-044</t>
  </si>
  <si>
    <t>Address translation</t>
  </si>
  <si>
    <t>Different Syshub address access via Firmware</t>
  </si>
  <si>
    <t>KRK-ACP-045</t>
  </si>
  <si>
    <t>1MB IRAM address space</t>
  </si>
  <si>
    <t>acp_dsp_iram_acc_test</t>
  </si>
  <si>
    <t>DSP IRAM access test</t>
  </si>
  <si>
    <t>acpaz18.1-3</t>
  </si>
  <si>
    <t>KRK-ACP-046</t>
  </si>
  <si>
    <t>1MB DRAM address space</t>
  </si>
  <si>
    <t>acp_dsp_dram_acc_test</t>
  </si>
  <si>
    <t>DSP DRAM access test</t>
  </si>
  <si>
    <t>acpaz19.1-3</t>
  </si>
  <si>
    <t>mFence=0-1, -dsp_num=2</t>
  </si>
  <si>
    <t>KRK-ACP-047</t>
  </si>
  <si>
    <t>Custom load/store TIE instructions</t>
  </si>
  <si>
    <t>dsp_image_no=0-1, -dsp_num=-2</t>
  </si>
  <si>
    <t>ACP MEMIO instructions</t>
  </si>
  <si>
    <t>acp_memio_instr_set</t>
  </si>
  <si>
    <t>ACP MEMIO instrution set</t>
  </si>
  <si>
    <t>acpaz101</t>
  </si>
  <si>
    <t>dsp_image_no=0-9, -dsp_num=2</t>
  </si>
  <si>
    <t>wk-2</t>
  </si>
  <si>
    <t>KRK-ACP-048</t>
  </si>
  <si>
    <t>Onchip Debug(JTAG)</t>
  </si>
  <si>
    <t>KRK-ACP-049</t>
  </si>
  <si>
    <t>9 Interrupts ; 5 level, Debug Interrupt</t>
  </si>
  <si>
    <t>All dsp tests check for sha config interrupt</t>
  </si>
  <si>
    <t>DSP SHA config interrupt check</t>
  </si>
  <si>
    <t>KRK-ACP-050</t>
  </si>
  <si>
    <t>Address and data Bus Error Handler</t>
  </si>
  <si>
    <t>acp_dsp_win_size_viol_chk</t>
  </si>
  <si>
    <t>DSP error access to different address space regions, data errors</t>
  </si>
  <si>
    <t>acpaz24.1-6</t>
  </si>
  <si>
    <t>dsp_image_no=0, -dsp_num=2</t>
  </si>
  <si>
    <t>KRK-ACP-051</t>
  </si>
  <si>
    <t>Exception Handler</t>
  </si>
  <si>
    <t>acp_dsp_bint_intr_handler</t>
  </si>
  <si>
    <t>DSP exception handler check</t>
  </si>
  <si>
    <t>KRK-ACP-052</t>
  </si>
  <si>
    <t>Run/Stall capability</t>
  </si>
  <si>
    <t>covered in all dsp tests</t>
  </si>
  <si>
    <t>&lt;Covered in all DSP tests&gt;</t>
  </si>
  <si>
    <t>KRK-ACP-053</t>
  </si>
  <si>
    <t>Bankwise power Gating</t>
  </si>
  <si>
    <t>acp_pgmem_phx_bankwise</t>
  </si>
  <si>
    <t>PGMEM Shutting down IRAM/DRAM memory bankwise</t>
  </si>
  <si>
    <t>acpaz293.1-8</t>
  </si>
  <si>
    <t>KRK-ACP-054</t>
  </si>
  <si>
    <t>Verify all IRAM/DRAM combination</t>
  </si>
  <si>
    <t>IRAM/DRAM Mux combination</t>
  </si>
  <si>
    <t>KRK-ACP-055</t>
  </si>
  <si>
    <t>Hash registers are placed under secure space and accessible only to PSP</t>
  </si>
  <si>
    <t>SHA</t>
  </si>
  <si>
    <t>SHA secure hash access check</t>
  </si>
  <si>
    <t>KRK-ACP-056</t>
  </si>
  <si>
    <t>Hash is calculated on incoming code and plugins. PSP is interrupted after completion of transfer to validate the hash.</t>
  </si>
  <si>
    <t>PSP interrupt after transfer for hash validation</t>
  </si>
  <si>
    <t>KRK-ACP-057</t>
  </si>
  <si>
    <t>DSP is enabled only after completion of ACP-PSP handshake</t>
  </si>
  <si>
    <t>SHA DMA test using DSP firmware</t>
  </si>
  <si>
    <t>KRK-ACP-058</t>
  </si>
  <si>
    <t>Header enable feature need to check</t>
  </si>
  <si>
    <t>acp_dsp_dram_acc_header</t>
  </si>
  <si>
    <t>acpaz40.1-3</t>
  </si>
  <si>
    <t>KRK-ACP-059</t>
  </si>
  <si>
    <t>Bus Error Handler</t>
  </si>
  <si>
    <t>SHA Error Test</t>
  </si>
  <si>
    <t>acp_sha_error_tests</t>
  </si>
  <si>
    <t>SHA DMA Syshub range violation error</t>
  </si>
  <si>
    <t>acpaz29.8</t>
  </si>
  <si>
    <t>SHA DMA IRAM address violation error</t>
  </si>
  <si>
    <t>acpaz29.9</t>
  </si>
  <si>
    <t>SHA DMA IRAM/DRAM address violationfor data length</t>
  </si>
  <si>
    <t>acpaz29.3</t>
  </si>
  <si>
    <t>SHA DMA out of fence configuration error</t>
  </si>
  <si>
    <t>acpaz29.10</t>
  </si>
  <si>
    <t>KRK-ACP-060</t>
  </si>
  <si>
    <t>Support for 3 I2S interfaces with at least 2 ports operating as I2S master with bidirectional master ports</t>
  </si>
  <si>
    <t>I2S Test</t>
  </si>
  <si>
    <t>acp_i2s_tdm_tx_rx_transfer_chk</t>
  </si>
  <si>
    <t>TX and RX via I2S-TDM channel</t>
  </si>
  <si>
    <t>acpaz255.1</t>
  </si>
  <si>
    <t>i2s_mode=0,1 sample_sz=8,12,16,24,32 slot_sz=32 num_slots=2,3,4,5,6,7,8 mem_option=0,1</t>
  </si>
  <si>
    <t>KRK-ACP-061</t>
  </si>
  <si>
    <t>Support driving an external clock source for I2S by adding a PLL for master clock</t>
  </si>
  <si>
    <t>Support driving an external clock source for I2S</t>
  </si>
  <si>
    <t>acpaz255.2/256.2/259/2</t>
  </si>
  <si>
    <t>KRK-ACP-062</t>
  </si>
  <si>
    <t>3 Tx/3 Rx stream support</t>
  </si>
  <si>
    <t>acp_i2s_bt_tdm_tx_rx_transfer_chk</t>
  </si>
  <si>
    <t>TX and RX via I2S-TDM BT channel</t>
  </si>
  <si>
    <t>acpaz256.1</t>
  </si>
  <si>
    <t>KRK-ACP-063</t>
  </si>
  <si>
    <t>2 to 8 channels per pin</t>
  </si>
  <si>
    <t>acpaz55.1</t>
  </si>
  <si>
    <t>KRK-ACP-064</t>
  </si>
  <si>
    <t>DMA accesses from system memory, ACP internal memory, SRAM with I2S as slave for each port along with LRCLK generation</t>
  </si>
  <si>
    <t>Slave mode access</t>
  </si>
  <si>
    <t>KRK-ACP-065</t>
  </si>
  <si>
    <t>DMA accesses from system memory, ACP internal memory, SRAM with I2S as master for each port, along with LRCLK generation</t>
  </si>
  <si>
    <t>Master mode access</t>
  </si>
  <si>
    <t>acpaz55.2</t>
  </si>
  <si>
    <t>KRK-ACP-066</t>
  </si>
  <si>
    <t xml:space="preserve">DMA accesses from system memory , ACP internal memory, SRAM with 1 master I2S port and 2 slave I2S modes </t>
  </si>
  <si>
    <t>Mixed mode access</t>
  </si>
  <si>
    <t>KRK-ACP-067</t>
  </si>
  <si>
    <t>Supported input sample rates  8,16,32,44,1,48,96,192kHz</t>
  </si>
  <si>
    <t>I2S controller input sample rate check</t>
  </si>
  <si>
    <t>KRK-ACP-068</t>
  </si>
  <si>
    <t>Supported output sample rates  8,16,32,44,1,48,96,192kHz</t>
  </si>
  <si>
    <t>KRK-ACP-069</t>
  </si>
  <si>
    <t>Circular DMA capability</t>
  </si>
  <si>
    <t>I2S ACP DRAM access via circular DMA</t>
  </si>
  <si>
    <t>KRK-ACP-070</t>
  </si>
  <si>
    <t>Interrupts based on watermark levels</t>
  </si>
  <si>
    <t>&lt;NA&gt;</t>
  </si>
  <si>
    <t>KRK-ACP-071</t>
  </si>
  <si>
    <t>Link/linear position counters</t>
  </si>
  <si>
    <t>KRK-ACP-072</t>
  </si>
  <si>
    <t>Graceful exit in middle of the transfer if channel reset is applied</t>
  </si>
  <si>
    <t>Graceful exit  of I2S TDM TX/RX channel</t>
  </si>
  <si>
    <t>Graceful exit  of I2S BT TDM TX/RX channel</t>
  </si>
  <si>
    <t>acpaz56.1</t>
  </si>
  <si>
    <t>KRK-ACP-073</t>
  </si>
  <si>
    <t>Programmable FIFO sizes</t>
  </si>
  <si>
    <t>KRK-ACP-074</t>
  </si>
  <si>
    <t>Bus Error Handlers</t>
  </si>
  <si>
    <t>acp_i2s_error_chk</t>
  </si>
  <si>
    <t>I2S Bus error generation (Multiple sub-tests)</t>
  </si>
  <si>
    <t>acpaz58.1-2</t>
  </si>
  <si>
    <t>KRK-ACP-075</t>
  </si>
  <si>
    <t>Support to detect External wake event</t>
  </si>
  <si>
    <t>acp_wake_test</t>
  </si>
  <si>
    <t>I2S Wake-up enable</t>
  </si>
  <si>
    <t>acpaz344</t>
  </si>
  <si>
    <t>KRK-ACP-076</t>
  </si>
  <si>
    <t>I2S interrupt after programmable transfer size</t>
  </si>
  <si>
    <t>KRK-ACP-077</t>
  </si>
  <si>
    <t>LRCLK generation</t>
  </si>
  <si>
    <t>LRCLK</t>
  </si>
  <si>
    <t>KRK-ACP-078</t>
  </si>
  <si>
    <t>Debug bus connectivity</t>
  </si>
  <si>
    <t>KRK-ACP-079</t>
  </si>
  <si>
    <t>Register access groups. 0 -PSP Only 1-R/W access to PSP and ACP-DSP, RO to all other masters 2- R/W access for all Masters</t>
  </si>
  <si>
    <t>Register Test</t>
  </si>
  <si>
    <t>acp_reg_test</t>
  </si>
  <si>
    <t>Internal register check tool</t>
  </si>
  <si>
    <t>acpaz1.1-2</t>
  </si>
  <si>
    <t>FPGA/N-1</t>
  </si>
  <si>
    <t>KRK-ACP-080</t>
  </si>
  <si>
    <t>Semaphore Registers ‎access (16 registers)</t>
  </si>
  <si>
    <t>acp_sem_reg_access</t>
  </si>
  <si>
    <t>Semaphore Register access</t>
  </si>
  <si>
    <t>acpz33</t>
  </si>
  <si>
    <t>KRK-ACP-081</t>
  </si>
  <si>
    <t>Scratch Registers access</t>
  </si>
  <si>
    <t>Scratch Register access</t>
  </si>
  <si>
    <t>KRK-ACP-082</t>
  </si>
  <si>
    <t>PDM decoder with 2 channels</t>
  </si>
  <si>
    <t>PDM Decoder</t>
  </si>
  <si>
    <t>acp_wov_pdm_en_test</t>
  </si>
  <si>
    <t>acpaz38</t>
  </si>
  <si>
    <t>brm_clk_ctrl=0,1,2,3,4,5,6,7 fence_val=0,1,2,3,4,5,6,7 mem_type=1,2 vad_ctrl=0,1 vad_ch_ctrl=0,1 dec_fac=16,32,64</t>
  </si>
  <si>
    <t>KRK-ACP-083</t>
  </si>
  <si>
    <t>Sampling frequencies of 16,24,32,48KHz</t>
  </si>
  <si>
    <t>DMIC Interface</t>
  </si>
  <si>
    <t>Verify all clock combinations</t>
  </si>
  <si>
    <t>KRK-ACP-084</t>
  </si>
  <si>
    <t>Data transfers at all supported PDM Interface clocks</t>
  </si>
  <si>
    <t>Data transfers at supported PDM Interface clocks</t>
  </si>
  <si>
    <t>KRK-ACP-085</t>
  </si>
  <si>
    <t>PDM interface to host data path test</t>
  </si>
  <si>
    <t>DMA from PDM to host</t>
  </si>
  <si>
    <t>KRK-ACP-086</t>
  </si>
  <si>
    <t>PDM interface to SRAM data path test</t>
  </si>
  <si>
    <t>DMA from PDM to SRAM</t>
  </si>
  <si>
    <t>KRK-ACP-087</t>
  </si>
  <si>
    <t>ACP to GFX Doorbell access</t>
  </si>
  <si>
    <t>Doorbell access</t>
  </si>
  <si>
    <t>acp_gfx_doorbell_interrupt</t>
  </si>
  <si>
    <t>ACP to CP doorbell access</t>
  </si>
  <si>
    <t>acpaz98.1-6</t>
  </si>
  <si>
    <t>KRK-ACP-088</t>
  </si>
  <si>
    <t>IRAM/DRAM security</t>
  </si>
  <si>
    <t>IRAM/DRAM Security</t>
  </si>
  <si>
    <t>acp_sram_secure_en_bit_acc</t>
  </si>
  <si>
    <t>Check access to IRAM/DRAM secure and unsecure areas</t>
  </si>
  <si>
    <t>acpaz92.2-5</t>
  </si>
  <si>
    <t>KRK-ACP-089</t>
  </si>
  <si>
    <t xml:space="preserve">HD Audio Codec detection </t>
  </si>
  <si>
    <t>Azalia Test</t>
  </si>
  <si>
    <t>shd3.2</t>
  </si>
  <si>
    <t>KRK-ACP-090</t>
  </si>
  <si>
    <t>Four independent stream controllers</t>
  </si>
  <si>
    <t>CORB/RIRB DMA transfer</t>
  </si>
  <si>
    <t>shd4.2</t>
  </si>
  <si>
    <t xml:space="preserve">Single stream multichannel loopback </t>
  </si>
  <si>
    <t>shd4.12</t>
  </si>
  <si>
    <t>KRK-ACP-091</t>
  </si>
  <si>
    <t>Register access from DSP and Host</t>
  </si>
  <si>
    <t>AZ register access from DSP and host</t>
  </si>
  <si>
    <t>acpaz70.5</t>
  </si>
  <si>
    <t>KRK-ACP-092</t>
  </si>
  <si>
    <t>8 mappable address regions to redirect the transactions to ACP DRAM</t>
  </si>
  <si>
    <t>CORB/RIRB DMA transfer with ACP DRAM</t>
  </si>
  <si>
    <t>acpaz70.1</t>
  </si>
  <si>
    <t>KRK-ACP-093</t>
  </si>
  <si>
    <t xml:space="preserve">Azalia Wakeup </t>
  </si>
  <si>
    <t>KRK-ACP-094</t>
  </si>
  <si>
    <t>Programmable BCLK (6/12/24Mhz)</t>
  </si>
  <si>
    <t>Programmable BCLK frequency check</t>
  </si>
  <si>
    <t>KRK-ACP-095</t>
  </si>
  <si>
    <t> PCI Function support for ACP and AZ</t>
  </si>
  <si>
    <t>KRK-ACP-096</t>
  </si>
  <si>
    <t>MIPI Soundwire 1.0 specification compliant</t>
  </si>
  <si>
    <t>SoundWire</t>
  </si>
  <si>
    <t>acp_sw_imm_cmd_chk,acp_swp1_imm_cmd_chk</t>
  </si>
  <si>
    <t>Codec Enumuration</t>
  </si>
  <si>
    <t>acpaz53,acpaz253</t>
  </si>
  <si>
    <t>KRK-ACP-097</t>
  </si>
  <si>
    <t>3 Tx/ 3 Rx streams</t>
  </si>
  <si>
    <t>acp_sw_rx_tx_corb_rirb</t>
  </si>
  <si>
    <t>Soundwire all TX RX stream check</t>
  </si>
  <si>
    <t>acpaz50,acpaz250</t>
  </si>
  <si>
    <t>KRK-ACP-098</t>
  </si>
  <si>
    <t>Command/Response DMAs</t>
  </si>
  <si>
    <t>acp_sw_corb_rirb_test,acp_swp1_corb_rirb_test</t>
  </si>
  <si>
    <t>Soundwire CORB/RIRB DMA transfer check</t>
  </si>
  <si>
    <t>acpaz47.1-2,acpaz247.1-2</t>
  </si>
  <si>
    <t>KRK-ACP-099</t>
  </si>
  <si>
    <t>Immediate command/Response</t>
  </si>
  <si>
    <t>KRK-ACP-100</t>
  </si>
  <si>
    <t>BPT support</t>
  </si>
  <si>
    <t>,acp_sw_bra_bpt_all_rx_chk,acp_swp1_bra_bpt_all_rx_chk</t>
  </si>
  <si>
    <t>ACP BPT soundwire check</t>
  </si>
  <si>
    <t>acpaz51,acpaz251</t>
  </si>
  <si>
    <t>KRK-ACP-101</t>
  </si>
  <si>
    <t>Programmable clock (3/6/12Mhz)</t>
  </si>
  <si>
    <t>Change Clock value during TX/RX stream transfer</t>
  </si>
  <si>
    <t>KRK-ACP-102</t>
  </si>
  <si>
    <t>Support for Tagged Commands</t>
  </si>
  <si>
    <t>acp_sw_cmd_tagged,acp_swp1_cmd_tagged</t>
  </si>
  <si>
    <t>Soundwire immediate tagged commands check</t>
  </si>
  <si>
    <t>acpaz45,acpaz245</t>
  </si>
  <si>
    <t>KRK-ACP-103</t>
  </si>
  <si>
    <t>State Transition Interrupts to driver</t>
  </si>
  <si>
    <t xml:space="preserve"> Soundwire slave status check</t>
  </si>
  <si>
    <t>KRK-ACP-104</t>
  </si>
  <si>
    <t>DMA accesses from system memory and ACP internal memory</t>
  </si>
  <si>
    <t>acp_sw_rx_tx_corb_rirb_dram,acp_swp1_rx_tx_corb_rirb_dram</t>
  </si>
  <si>
    <t>Soundwire audio corb check</t>
  </si>
  <si>
    <t>acpaz46,acpaz.246</t>
  </si>
  <si>
    <t>Soundwire BT corb check</t>
  </si>
  <si>
    <t>Soundwire HS corb check</t>
  </si>
  <si>
    <t>KRK-ACP-105</t>
  </si>
  <si>
    <t>acp_sw_audio_slave_linr_ch_circ_ch</t>
  </si>
  <si>
    <t>Soundwire audio circular dpch RX</t>
  </si>
  <si>
    <t>acpaz52.1</t>
  </si>
  <si>
    <t>  -aud_dp0=0 -aud_dp1=1 -aud_dp2=2 -aud_dp3=3</t>
  </si>
  <si>
    <t>Soundwire audio linear dpch RX</t>
  </si>
  <si>
    <t>acpaz52.2</t>
  </si>
  <si>
    <t xml:space="preserve"> -aud_dp0=0 -aud_dp1=1 -aud_dp2=2 -aud_dp3=3</t>
  </si>
  <si>
    <t>KRK-ACP-106</t>
  </si>
  <si>
    <t>acp_sw_rx_tx_corb_rirb,acp_swp1_rx_tx_corb_rirb</t>
  </si>
  <si>
    <t>KRK-ACP-107</t>
  </si>
  <si>
    <t>KRK-ACP-108</t>
  </si>
  <si>
    <t>acpaz46,acpaz246</t>
  </si>
  <si>
    <t>KRK-ACP-109</t>
  </si>
  <si>
    <t>acp_sw_prbs_error,acp_swp1_prbs_error</t>
  </si>
  <si>
    <t xml:space="preserve">PRBS error </t>
  </si>
  <si>
    <t>acpaz48,acpaz248</t>
  </si>
  <si>
    <t>acp_sw_error_test,acp_swp1_error_test</t>
  </si>
  <si>
    <t>Command response error</t>
  </si>
  <si>
    <t>acpaz.47.2,acpaz.247.2</t>
  </si>
  <si>
    <t>Transmit-Receive error</t>
  </si>
  <si>
    <t>acpaz47.1,acpaz247.1</t>
  </si>
  <si>
    <t>KRK-ACP-110</t>
  </si>
  <si>
    <t xml:space="preserve">Urgency interrupts </t>
  </si>
  <si>
    <t>Urgency interrupts</t>
  </si>
  <si>
    <t>KRK-ACP-111</t>
  </si>
  <si>
    <t>ACP Fusion DSP instruction set execute</t>
  </si>
  <si>
    <t>Fusion Test</t>
  </si>
  <si>
    <t>acp_fusion_ext_instr</t>
  </si>
  <si>
    <t>acpaz299</t>
  </si>
  <si>
    <t>dsp_image_no=0-843</t>
  </si>
  <si>
    <t>KRK-ACP-112</t>
  </si>
  <si>
    <t>ACP Fusion MEMIO instructions</t>
  </si>
  <si>
    <t>acp_fusion_memio_instr_set</t>
  </si>
  <si>
    <t>ACP Fusion MEMIO instrution set</t>
  </si>
  <si>
    <t>acpaz201</t>
  </si>
  <si>
    <t>dsp_image_no=0-9</t>
  </si>
  <si>
    <t>wk-4</t>
  </si>
  <si>
    <t>KRK-ACP-113</t>
  </si>
  <si>
    <t>IRAM Address space</t>
  </si>
  <si>
    <t>acp_dsp_iram_acc_test_fusion</t>
  </si>
  <si>
    <t>Fusion IRAM Access</t>
  </si>
  <si>
    <t>acpaz218.1-3</t>
  </si>
  <si>
    <t>KRK-ACP-114</t>
  </si>
  <si>
    <t>DRAM Address space</t>
  </si>
  <si>
    <t>acp_dsp_dram_acc_test_fusion</t>
  </si>
  <si>
    <t>Fusion DRAM Access</t>
  </si>
  <si>
    <t>acpaz219.1-3</t>
  </si>
  <si>
    <t>mFence=0-1</t>
  </si>
  <si>
    <t>KRK-ACP-115</t>
  </si>
  <si>
    <t>acp_dsp_syshub_rand_acc_test_fusion</t>
  </si>
  <si>
    <t>acpaz220.1-7</t>
  </si>
  <si>
    <t>targ_mem_type=1-3 -dsp_image_no=0-8</t>
  </si>
  <si>
    <t>KRK-ACP-116</t>
  </si>
  <si>
    <t>acp_dsp_ideram_syshub_rand_acc_test_fusion</t>
  </si>
  <si>
    <t>Firmware writes to dram/sram/syshub  parallel to IRAM</t>
  </si>
  <si>
    <t>acpaz221.1-7</t>
  </si>
  <si>
    <t>dsp_image_no=0-1</t>
  </si>
  <si>
    <t>KRK-ACP-117</t>
  </si>
  <si>
    <t>ESRAM Address space</t>
  </si>
  <si>
    <t>acp_dsp_eram_acc_test_fusion</t>
  </si>
  <si>
    <t>ESRAM access</t>
  </si>
  <si>
    <t>acpaz222.1-5</t>
  </si>
  <si>
    <t>KRK-ACP-118</t>
  </si>
  <si>
    <t>acp_dsp_win_size_viol_chk_fusion</t>
  </si>
  <si>
    <t>Fusion DSP error access to different address space regions, data errors</t>
  </si>
  <si>
    <t>acpaz224.1-6</t>
  </si>
  <si>
    <t>dsp_image_no=0-1 and 3</t>
  </si>
  <si>
    <t>KRK-ACP-119</t>
  </si>
  <si>
    <t>acp_dsp_exception_handler_fusion</t>
  </si>
  <si>
    <t>Fusion DSP exception handler check</t>
  </si>
  <si>
    <t>acpaz225.1-14</t>
  </si>
  <si>
    <t>KRK-ACP-120</t>
  </si>
  <si>
    <t>SHA DMA IDRAM Access</t>
  </si>
  <si>
    <t>acp_sha_dma_rand_len_fusion</t>
  </si>
  <si>
    <t>acpaz226</t>
  </si>
  <si>
    <t>KRK-ACP-121</t>
  </si>
  <si>
    <t>acp_sha_dma_idram_access_fusion</t>
  </si>
  <si>
    <t>acpaz227.1</t>
  </si>
  <si>
    <t>KRK-ACP-122</t>
  </si>
  <si>
    <t>acp_sha_error_tests_fusion</t>
  </si>
  <si>
    <t>acpaz229.1-3</t>
  </si>
  <si>
    <t>KRK-ACP-123</t>
  </si>
  <si>
    <t>acp_dsp_intr_handler_fusion</t>
  </si>
  <si>
    <t>acpaz230.1-5</t>
  </si>
  <si>
    <t>KRK-ACP-124</t>
  </si>
  <si>
    <t>1 ACP Timer Interrupts</t>
  </si>
  <si>
    <t>acp_fusion_dsp_all_timers_check</t>
  </si>
  <si>
    <t>Fusion Timer interrupt check</t>
  </si>
  <si>
    <t>acpaz241.1-3</t>
  </si>
  <si>
    <t>KRK-ACP-125</t>
  </si>
  <si>
    <t>acpaz242</t>
  </si>
  <si>
    <t>KRK-ACP-126</t>
  </si>
  <si>
    <t>acp_dsp_bint_intr_handler_fusion</t>
  </si>
  <si>
    <t>acpaz294.1-5</t>
  </si>
  <si>
    <t>KRK-ACP-127</t>
  </si>
  <si>
    <t>Fusion DSP Accessing register Test</t>
  </si>
  <si>
    <t>acp_dsp_acc_reg_test_fusion</t>
  </si>
  <si>
    <t>Fusion DSP Accessing register test</t>
  </si>
  <si>
    <t>acpaz303</t>
  </si>
  <si>
    <t>dsp_image_no=0-14</t>
  </si>
  <si>
    <t>KRK-ACP-128</t>
  </si>
  <si>
    <t>Hifi5-Xtensa DSP1 Test</t>
  </si>
  <si>
    <t>acp_dsp1_all_timers_check_phx</t>
  </si>
  <si>
    <t>acpaz341.1-3</t>
  </si>
  <si>
    <t>KRK-ACP-129</t>
  </si>
  <si>
    <t>BINT4 LEVEL-0 Interrupt</t>
  </si>
  <si>
    <t>Hifi5-Xtensa DSP Test</t>
  </si>
  <si>
    <t>acp_dsp_reg_acc_bint4_test</t>
  </si>
  <si>
    <t>acpaz105</t>
  </si>
  <si>
    <t>KRK-ACP-130</t>
  </si>
  <si>
    <t>ACP DSP Multi master test</t>
  </si>
  <si>
    <t>acp_all_dsps_sha_rand_test</t>
  </si>
  <si>
    <t>acpaz342</t>
  </si>
  <si>
    <t>KRK-ACP-131</t>
  </si>
  <si>
    <t>ACP DSP cross acc IRAM/DRAM</t>
  </si>
  <si>
    <t>acp_dsp_cross_acc_iram_dram</t>
  </si>
  <si>
    <t>acpaz343.1-6</t>
  </si>
  <si>
    <t>KRK-ACP-132</t>
  </si>
  <si>
    <t xml:space="preserve">ACP Efuse Test </t>
  </si>
  <si>
    <t xml:space="preserve">ACP Efuse test </t>
  </si>
  <si>
    <t>acp_efuse_test_strix1</t>
  </si>
  <si>
    <t>ACP Efuse test</t>
  </si>
  <si>
    <t>acpaz108.1-4</t>
  </si>
  <si>
    <t>KRK-ACP-133</t>
  </si>
  <si>
    <t>Hifi DSP Accessing register Test</t>
  </si>
  <si>
    <t>acp_dsp_acc_reg_test</t>
  </si>
  <si>
    <t>Hifi DSP Accessing register test</t>
  </si>
  <si>
    <t>acpaz103</t>
  </si>
  <si>
    <t>dsp_image_no=0-14, -dsp_num=2</t>
  </si>
  <si>
    <t>KRK-ACP-134</t>
  </si>
  <si>
    <t>Validate the LPFLL Source Clock Generation</t>
  </si>
  <si>
    <t>KRK-ACP-135</t>
  </si>
  <si>
    <t>ACP Tiny NNE AINR Test</t>
  </si>
  <si>
    <t>ACP Tiny NNE AINR Test Enablement</t>
  </si>
  <si>
    <t>acp_tiny_nne_xnne_network_tests</t>
  </si>
  <si>
    <t>acpaz107</t>
  </si>
  <si>
    <t>KRK-ACP-136</t>
  </si>
  <si>
    <t>ACP DMA IO Stutter Feature</t>
  </si>
  <si>
    <t>ACP DMA IO Stutter Feature Enablement</t>
  </si>
  <si>
    <t>KRK-ACP-137</t>
  </si>
  <si>
    <t>ACP Direct SRAM Access</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</si>
  <si>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</si>
  <si>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</si>
  <si>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</si>
  <si>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</si>
  <si>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</si>
  <si>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</si>
  <si>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</si>
  <si>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</si>
  <si>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</si>
  <si>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</si>
  <si>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</si>
  <si>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</si>
  <si>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</si>
  <si>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</si>
  <si>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</si>
  <si>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</si>
  <si>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</si>
  <si>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</si>
  <si>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</si>
  <si>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Feature name - EX-FEAT-001</t>
  </si>
  <si>
    <t>Total # of Features</t>
  </si>
  <si>
    <t>Feature name - EX-FEAT-002</t>
  </si>
  <si>
    <t>Total # of P1</t>
  </si>
  <si>
    <t>Feature name - EX-FEAT-003</t>
  </si>
  <si>
    <t>Total # of P2</t>
  </si>
  <si>
    <t>Feature name - EX-FEAT-004</t>
  </si>
  <si>
    <t>Total # of P3</t>
  </si>
  <si>
    <t>Feature name - EX-FEAT-005</t>
  </si>
  <si>
    <t>Total # of Diagnostics</t>
  </si>
  <si>
    <t>Feature name - EX-FEAT-006</t>
  </si>
  <si>
    <t>Total # of Driver</t>
  </si>
  <si>
    <t>Feature name - EX-FEAT-007</t>
  </si>
  <si>
    <t>Total # of IPSE</t>
  </si>
  <si>
    <t>Feature name - EX-FEAT-008</t>
  </si>
  <si>
    <t>Total # of N/A</t>
  </si>
  <si>
    <t>Feature name - EX-FEAT-009</t>
  </si>
  <si>
    <t>Total # of Legacy</t>
  </si>
  <si>
    <t>Feature name - EX-FEAT-010</t>
  </si>
  <si>
    <t>Total # of Delta</t>
  </si>
  <si>
    <t>Feature name - EX-FEAT-011</t>
  </si>
  <si>
    <t>Total # of New</t>
  </si>
  <si>
    <t>Feature name - EX-FEAT-012</t>
  </si>
  <si>
    <t>Feature name - EX-FEAT-013</t>
  </si>
  <si>
    <t>Feature name - EX-FEAT-014</t>
  </si>
  <si>
    <t>Feature name - EX-FEAT-015</t>
  </si>
  <si>
    <t>Feature name - EX-FEAT-016</t>
  </si>
  <si>
    <t>Feature name - EX-FEAT-017</t>
  </si>
  <si>
    <t>Feature name - EX-FEAT-018</t>
  </si>
  <si>
    <t>Feature name - EX-FEAT-019</t>
  </si>
  <si>
    <t>Feature name - EX-FEAT-020</t>
  </si>
  <si>
    <t>Feature name - EX-FEAT-021</t>
  </si>
  <si>
    <t>Feature name - EX-FEAT-022</t>
  </si>
  <si>
    <t>Feature name - EX-FEAT-023</t>
  </si>
  <si>
    <t>Feature name - EX-FEAT-024</t>
  </si>
  <si>
    <t>Feature name - EX-FEAT-025</t>
  </si>
  <si>
    <t>Feature name - EX-FEAT-026</t>
  </si>
  <si>
    <t>Feature name - EX-FEAT-027</t>
  </si>
  <si>
    <t>Feature name - EX-FEAT-028</t>
  </si>
  <si>
    <t>Feature name - EX-FEAT-029</t>
  </si>
  <si>
    <t>Feature name - EX-FEAT-030</t>
  </si>
  <si>
    <t>Feature name - EX-FEAT-031</t>
  </si>
  <si>
    <t>Feature name - EX-FEAT-032</t>
  </si>
  <si>
    <t>Feature name - EX-FEAT-033</t>
  </si>
  <si>
    <t>Feature name - EX-FEAT-034</t>
  </si>
  <si>
    <t>Feature name - EX-FEAT-035</t>
  </si>
  <si>
    <t>Feature name - EX-FEAT-036</t>
  </si>
  <si>
    <t>Feature name - EX-FEAT-037</t>
  </si>
  <si>
    <t>Feature name - EX-FEAT-038</t>
  </si>
  <si>
    <t>Feature name - EX-FEAT-039</t>
  </si>
  <si>
    <t>Feature name - EX-FEAT-040</t>
  </si>
  <si>
    <t>Feature name - EX-FEAT-041</t>
  </si>
  <si>
    <t>Feature name - EX-FEAT-042</t>
  </si>
  <si>
    <t>Feature name - EX-FEAT-043</t>
  </si>
  <si>
    <t>Feature name - EX-FEAT-044</t>
  </si>
  <si>
    <t>Feature name - EX-FEAT-045</t>
  </si>
  <si>
    <t>Feature name - EX-FEAT-046</t>
  </si>
  <si>
    <t>Feature name - EX-FEAT-047</t>
  </si>
  <si>
    <t>Feature name - EX-FEAT-048</t>
  </si>
  <si>
    <t>Feature name - EX-FEAT-049</t>
  </si>
  <si>
    <t>Feature name - EX-FEAT-050</t>
  </si>
  <si>
    <t>Feature name - EX-FEAT-051</t>
  </si>
  <si>
    <t>Feature name - EX-FEAT-052</t>
  </si>
  <si>
    <t>Feature name - EX-FEAT-053</t>
  </si>
  <si>
    <t>Feature name - EX-FEAT-054</t>
  </si>
  <si>
    <t>Feature name - EX-FEAT-055</t>
  </si>
  <si>
    <t>Feature name - EX-FEAT-056</t>
  </si>
  <si>
    <t>Feature name - EX-FEAT-057</t>
  </si>
  <si>
    <t>Feature name - EX-FEAT-058</t>
  </si>
  <si>
    <t>Feature name - EX-FEAT-059</t>
  </si>
  <si>
    <t>Feature name - EX-FEAT-060</t>
  </si>
  <si>
    <t>Feature name - EX-FEAT-061</t>
  </si>
  <si>
    <t>Feature name - EX-FEAT-062</t>
  </si>
  <si>
    <t>Feature name - EX-FEAT-063</t>
  </si>
  <si>
    <t>Feature name - EX-FEAT-064</t>
  </si>
  <si>
    <t>Feature name - EX-FEAT-065</t>
  </si>
  <si>
    <t>Feature name - EX-FEAT-066</t>
  </si>
  <si>
    <t>Feature name - EX-FEAT-067</t>
  </si>
  <si>
    <t>Feature name - EX-FEAT-068</t>
  </si>
  <si>
    <t>Feature name - EX-FEAT-069</t>
  </si>
  <si>
    <t>Feature name - EX-FEAT-070</t>
  </si>
  <si>
    <t>Feature name - EX-FEAT-071</t>
  </si>
  <si>
    <t>Feature name - EX-FEAT-072</t>
  </si>
  <si>
    <t>Feature name - EX-FEAT-073</t>
  </si>
  <si>
    <t>Feature name - EX-FEAT-074</t>
  </si>
  <si>
    <t>Feature name - EX-FEAT-075</t>
  </si>
  <si>
    <t>Feature name - EX-FEAT-076</t>
  </si>
  <si>
    <t>Feature name - EX-FEAT-077</t>
  </si>
  <si>
    <t>Feature name - EX-FEAT-078</t>
  </si>
  <si>
    <t>Feature name - EX-FEAT-079</t>
  </si>
  <si>
    <t>Feature name - EX-FEAT-080</t>
  </si>
  <si>
    <t>Feature name - EX-FEAT-081</t>
  </si>
  <si>
    <t>Feature name - EX-FEAT-082</t>
  </si>
  <si>
    <t>Feature name - EX-FEAT-083</t>
  </si>
  <si>
    <t>Feature name - EX-FEAT-084</t>
  </si>
  <si>
    <t>Feature name - EX-FEAT-085</t>
  </si>
  <si>
    <t>Feature name - EX-FEAT-086</t>
  </si>
  <si>
    <t>Feature name - EX-FEAT-087</t>
  </si>
  <si>
    <t>Feature name - EX-FEAT-088</t>
  </si>
  <si>
    <t>Feature name - EX-FEAT-089</t>
  </si>
  <si>
    <t>Feature name - EX-FEAT-090</t>
  </si>
  <si>
    <t>Feature name - EX-FEAT-091</t>
  </si>
  <si>
    <t>Feature name - EX-FEAT-092</t>
  </si>
  <si>
    <t>Feature name - EX-FEAT-094</t>
  </si>
  <si>
    <t>Feature name - EX-FEAT-095</t>
  </si>
  <si>
    <t>Feature name - EX-FEAT-096</t>
  </si>
  <si>
    <t>Feature name - EX-FEAT-097</t>
  </si>
  <si>
    <t>Feature name - EX-FEAT-098</t>
  </si>
  <si>
    <t>Feature name - EX-FEAT-099</t>
  </si>
  <si>
    <t>Feature name - EX-FEAT-100</t>
  </si>
  <si>
    <t>Feature name - EX-FEAT-101</t>
  </si>
  <si>
    <t>Feature name - EX-FEAT-102</t>
  </si>
  <si>
    <t>Feature name - EX-FEAT-103</t>
  </si>
  <si>
    <t>Feature name - EX-FEAT-104</t>
  </si>
  <si>
    <t>Feature name - EX-FEAT-105</t>
  </si>
  <si>
    <t>Feature name - EX-FEAT-106</t>
  </si>
  <si>
    <t>Feature name - EX-FEAT-107</t>
  </si>
  <si>
    <t>Feature name - EX-FEAT-108</t>
  </si>
  <si>
    <t>Feature name - EX-FEAT-109</t>
  </si>
  <si>
    <t>Feature name - EX-FEAT-110</t>
  </si>
  <si>
    <t>Feature name - EX-FEAT-111</t>
  </si>
  <si>
    <t>Feature name - EX-FEAT-112</t>
  </si>
  <si>
    <t>Feature name - EX-FEAT-113</t>
  </si>
  <si>
    <t>Feature name - EX-FEAT-114</t>
  </si>
  <si>
    <t>Feature name - EX-FEAT-115</t>
  </si>
  <si>
    <t>Feature name - EX-FEAT-116</t>
  </si>
  <si>
    <t>Feature name - EX-FEAT-117</t>
  </si>
  <si>
    <t>Feature name - EX-FEAT-118</t>
  </si>
  <si>
    <t>Feature name - EX-FEAT-119</t>
  </si>
  <si>
    <t>Feature name - EX-FEAT-120</t>
  </si>
  <si>
    <t>Feature name - EX-FEAT-121</t>
  </si>
  <si>
    <t>Feature name - EX-FEAT-122</t>
  </si>
  <si>
    <t>Feature name - EX-FEAT-123</t>
  </si>
  <si>
    <t>Feature name - EX-FEAT-124</t>
  </si>
  <si>
    <t>Feature name - EX-FEAT-125</t>
  </si>
  <si>
    <t>Feature name - EX-FEAT-126</t>
  </si>
  <si>
    <t>Feature name - EX-FEAT-127</t>
  </si>
  <si>
    <t>Feature name - EX-FEAT-128</t>
  </si>
  <si>
    <t>Feature name - EX-FEAT-129</t>
  </si>
  <si>
    <t>Feature name - EX-FEAT-130</t>
  </si>
  <si>
    <t>Feature name - EX-FEAT-131</t>
  </si>
  <si>
    <t>Feature name - EX-FEAT-132</t>
  </si>
  <si>
    <t>Feature name - EX-FEAT-133</t>
  </si>
  <si>
    <t>Feature name - EX-FEAT-134</t>
  </si>
  <si>
    <t>Feature name - EX-FEAT-135</t>
  </si>
  <si>
    <t>PLEASE CAREFULLY READ 'Usage' tab’s descriptions and instructions of all columns and tabs</t>
  </si>
  <si>
    <t>Test plan completed and signed-off by IPSE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</si>
  <si>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</si>
  <si>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</si>
  <si>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</si>
  <si>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</si>
  <si>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</si>
  <si>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</si>
  <si>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WK8</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</si>
  <si>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</si>
  <si>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</si>
  <si>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</si>
  <si>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</si>
  <si>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</si>
  <si>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</si>
  <si>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</si>
  <si>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</si>
  <si>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</si>
  <si>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</si>
  <si>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</si>
  <si>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</si>
  <si>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</si>
  <si>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</si>
  <si>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</si>
  <si>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</si>
  <si>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</si>
  <si>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</si>
  <si>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</si>
  <si>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</si>
  <si>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</si>
  <si>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</si>
  <si>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</si>
  <si>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</si>
  <si>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</si>
  <si>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</si>
  <si>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</si>
  <si>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</si>
  <si>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</si>
  <si>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</si>
  <si>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</si>
  <si>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</si>
  <si>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</si>
  <si>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</si>
  <si>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</si>
  <si>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</si>
  <si>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</si>
  <si>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</si>
  <si>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</si>
  <si>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</si>
  <si>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</si>
  <si>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</si>
  <si>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</si>
  <si>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</si>
  <si>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</si>
  <si>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</si>
  <si>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</si>
  <si>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</si>
  <si>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</si>
  <si>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</si>
  <si>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</si>
  <si>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</si>
  <si>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</si>
  <si>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</si>
  <si>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</si>
  <si>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</si>
  <si>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</si>
  <si>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</si>
  <si>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</si>
  <si>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</si>
  <si>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</si>
  <si>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</si>
  <si>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</si>
  <si>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</si>
  <si>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</si>
  <si>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</si>
  <si>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</si>
  <si>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</si>
  <si>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</si>
  <si>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</si>
  <si>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</si>
  <si>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</si>
  <si>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</si>
  <si>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</si>
  <si>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</si>
  <si>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</si>
  <si>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</si>
  <si>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</si>
  <si>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</si>
  <si>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</si>
  <si>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</si>
  <si>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</si>
  <si>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</si>
  <si>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</si>
  <si>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</si>
  <si>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</si>
  <si>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</si>
  <si>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</si>
  <si>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</si>
  <si>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</si>
  <si>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</si>
  <si>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</si>
  <si>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</si>
  <si>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</si>
  <si>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</si>
  <si>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</si>
  <si>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</si>
  <si>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</si>
  <si>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</si>
  <si>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</si>
  <si>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</si>
  <si>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</si>
  <si>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</si>
  <si>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</si>
  <si>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</si>
  <si>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</si>
  <si>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</si>
  <si>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</si>
  <si>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</si>
  <si>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</si>
  <si>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</si>
  <si>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wk-3</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</si>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</sst>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sz val="11"/>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57">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52" borderId="18"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7"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7" xfId="0" applyFill="1" applyBorder="1" applyAlignment="1">
      <alignment horizontal="left" vertical="center"/>
    </xf>
    <xf numFmtId="0" fontId="0" fillId="52" borderId="10" xfId="0" applyFill="1" applyBorder="1" applyAlignment="1">
      <alignment horizontal="left" vertical="center"/>
    </xf>
    <xf numFmtId="0" fontId="52" fillId="52" borderId="10" xfId="0" applyFont="1" applyFill="1" applyBorder="1" applyAlignment="1">
      <alignment vertical="center" wrapText="1"/>
    </xf>
    <xf numFmtId="0" fontId="0" fillId="52" borderId="10" xfId="0" applyFill="1" applyBorder="1" applyAlignment="1">
      <alignment vertical="center"/>
    </xf>
    <xf numFmtId="0" fontId="0" fillId="52" borderId="10" xfId="0" applyFill="1" applyBorder="1" applyAlignment="1">
      <alignment vertical="center" wrapText="1"/>
    </xf>
    <xf numFmtId="0" fontId="0" fillId="52" borderId="17" xfId="0" applyFill="1" applyBorder="1" applyAlignment="1">
      <alignment vertical="center"/>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0" fillId="52" borderId="10" xfId="0" applyFill="1" applyBorder="1" applyAlignment="1">
      <alignment horizontal="left" vertical="center" wrapText="1"/>
    </xf>
    <xf numFmtId="0" fontId="52" fillId="52" borderId="10" xfId="0" applyFont="1" applyFill="1" applyBorder="1" applyAlignment="1">
      <alignment horizontal="left" vertical="center" wrapText="1"/>
    </xf>
    <xf numFmtId="0" fontId="0" fillId="52" borderId="10" xfId="0" applyFill="1" applyBorder="1" applyAlignment="1">
      <alignment horizontal="center" vertical="center" wrapText="1"/>
    </xf>
    <xf numFmtId="0" fontId="0" fillId="40" borderId="17" xfId="0" applyFill="1" applyBorder="1" applyAlignment="1">
      <alignment horizontal="center" vertical="center"/>
    </xf>
    <xf numFmtId="0" fontId="0" fillId="40" borderId="10" xfId="0" applyFill="1" applyBorder="1" applyAlignment="1">
      <alignment horizontal="center" vertical="center"/>
    </xf>
    <xf numFmtId="0" fontId="0" fillId="52" borderId="17" xfId="0" applyFill="1" applyBorder="1" applyAlignment="1" applyProtection="1">
      <alignment horizontal="center" vertical="center"/>
      <protection locked="0"/>
    </xf>
    <xf numFmtId="0" fontId="0" fillId="52" borderId="10" xfId="0" applyFill="1" applyBorder="1" applyAlignment="1" applyProtection="1">
      <alignment horizontal="center" vertical="center"/>
      <protection locked="0"/>
    </xf>
    <xf numFmtId="0" fontId="18" fillId="52" borderId="17" xfId="0" applyFont="1" applyFill="1" applyBorder="1" applyAlignment="1">
      <alignment horizontal="center" vertical="center"/>
    </xf>
    <xf numFmtId="0" fontId="18" fillId="52" borderId="10" xfId="0" applyFont="1" applyFill="1" applyBorder="1" applyAlignment="1">
      <alignment horizontal="center" vertical="center"/>
    </xf>
    <xf numFmtId="0" fontId="0" fillId="52" borderId="39" xfId="0" applyFill="1" applyBorder="1" applyAlignment="1">
      <alignment horizontal="center" vertical="center"/>
    </xf>
    <xf numFmtId="0" fontId="0" fillId="52" borderId="57" xfId="0" applyFill="1" applyBorder="1" applyAlignment="1">
      <alignment horizontal="center" vertical="center"/>
    </xf>
    <xf numFmtId="0" fontId="18" fillId="52" borderId="57" xfId="0" applyFont="1" applyFill="1" applyBorder="1" applyAlignment="1">
      <alignment horizontal="center" vertical="center"/>
    </xf>
    <xf numFmtId="9" fontId="18" fillId="52" borderId="16" xfId="0" applyNumberFormat="1" applyFont="1" applyFill="1" applyBorder="1" applyAlignment="1">
      <alignment horizontal="center" vertical="center"/>
    </xf>
    <xf numFmtId="9" fontId="18" fillId="52" borderId="13" xfId="0" applyNumberFormat="1" applyFont="1" applyFill="1" applyBorder="1" applyAlignment="1">
      <alignment horizontal="center" vertical="center"/>
    </xf>
    <xf numFmtId="9" fontId="18" fillId="42" borderId="57" xfId="42" applyFont="1" applyFill="1" applyBorder="1" applyAlignment="1">
      <alignment horizontal="center" vertical="center"/>
    </xf>
    <xf numFmtId="0" fontId="0" fillId="52" borderId="16" xfId="0" applyFill="1" applyBorder="1" applyAlignment="1" applyProtection="1">
      <alignment vertical="center"/>
      <protection locked="0"/>
    </xf>
    <xf numFmtId="0" fontId="0" fillId="52" borderId="13" xfId="0" applyFill="1" applyBorder="1" applyAlignment="1" applyProtection="1">
      <alignment vertical="center"/>
      <protection locked="0"/>
    </xf>
    <xf numFmtId="0" fontId="0" fillId="33" borderId="17" xfId="0" applyFill="1" applyBorder="1" applyAlignment="1">
      <alignment vertical="center"/>
    </xf>
    <xf numFmtId="0" fontId="0" fillId="33" borderId="10" xfId="0" applyFill="1" applyBorder="1" applyAlignment="1">
      <alignment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82" xfId="0" applyFont="1" applyFill="1" applyBorder="1" applyAlignment="1">
      <alignment horizontal="left" vertical="center"/>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worktor.amd.com/sites/DiagnosticDomain/Shared%20Documents/Programs/Strix1/Common/IP%20Status%20Trackers/STRIX1_ACP_Diagnostics_Status_Tracker%202.0_Pre-Si.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yworktor.amd.com/Users/sumantha/OneDrive%20-%20Advanced%20Micro%20Devices%20Inc/Desktop/Floyd-A0_ACP_Diagnostics_Status_Tracker%202.0_la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Progress (WIP)"/>
      <sheetName val="Progress"/>
      <sheetName val="Sheet1"/>
      <sheetName val="Coverage Pl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7">
          <cell r="A7" t="str">
            <v>RMB-ACP-001</v>
          </cell>
          <cell r="B7" t="str">
            <v>Run tests at varying ACLK upto 1GHz</v>
          </cell>
          <cell r="C7" t="str">
            <v>P2</v>
          </cell>
          <cell r="D7" t="str">
            <v xml:space="preserve">Manual, </v>
          </cell>
          <cell r="E7" t="str">
            <v>Clock Test</v>
          </cell>
          <cell r="F7" t="str">
            <v>Legacy</v>
          </cell>
          <cell r="G7" t="str">
            <v>Yes</v>
          </cell>
          <cell r="H7" t="str">
            <v>Yes</v>
          </cell>
          <cell r="I7">
            <v>1</v>
          </cell>
          <cell r="J7">
            <v>1</v>
          </cell>
          <cell r="K7">
            <v>1</v>
          </cell>
          <cell r="L7">
            <v>1</v>
          </cell>
          <cell r="M7">
            <v>1</v>
          </cell>
          <cell r="N7">
            <v>0</v>
          </cell>
          <cell r="O7">
            <v>0</v>
          </cell>
          <cell r="P7">
            <v>0</v>
          </cell>
          <cell r="Q7">
            <v>0</v>
          </cell>
          <cell r="R7">
            <v>0</v>
          </cell>
          <cell r="S7">
            <v>0</v>
          </cell>
          <cell r="T7">
            <v>0</v>
          </cell>
          <cell r="U7" t="str">
            <v>wk-1</v>
          </cell>
        </row>
        <row r="8">
          <cell r="A8" t="str">
            <v>RMB-ACP-002</v>
          </cell>
          <cell r="B8" t="str">
            <v>Run tests at varying SHUBCLK and ACLK ratios</v>
          </cell>
          <cell r="C8" t="str">
            <v>P2</v>
          </cell>
          <cell r="D8" t="str">
            <v xml:space="preserve">Manual, </v>
          </cell>
          <cell r="E8" t="str">
            <v>Clock test</v>
          </cell>
          <cell r="F8" t="str">
            <v>Legacy</v>
          </cell>
          <cell r="G8" t="str">
            <v>Yes</v>
          </cell>
          <cell r="H8" t="str">
            <v>Yes</v>
          </cell>
          <cell r="I8">
            <v>1</v>
          </cell>
          <cell r="J8">
            <v>1</v>
          </cell>
          <cell r="K8">
            <v>1</v>
          </cell>
          <cell r="L8">
            <v>1</v>
          </cell>
          <cell r="M8">
            <v>1</v>
          </cell>
          <cell r="N8">
            <v>0</v>
          </cell>
          <cell r="O8">
            <v>0</v>
          </cell>
          <cell r="P8">
            <v>0</v>
          </cell>
          <cell r="Q8">
            <v>0</v>
          </cell>
          <cell r="R8">
            <v>0</v>
          </cell>
          <cell r="S8">
            <v>0</v>
          </cell>
          <cell r="T8">
            <v>0</v>
          </cell>
          <cell r="U8" t="str">
            <v>wk-1</v>
          </cell>
        </row>
        <row r="9">
          <cell r="A9" t="str">
            <v>RMB-ACP-003</v>
          </cell>
          <cell r="B9" t="str">
            <v>ACP Clock Enable Disable</v>
          </cell>
          <cell r="C9" t="str">
            <v>P2</v>
          </cell>
          <cell r="D9" t="str">
            <v xml:space="preserve">acpaz67, </v>
          </cell>
          <cell r="E9" t="str">
            <v>Clock Test</v>
          </cell>
          <cell r="F9" t="str">
            <v>Delta</v>
          </cell>
          <cell r="G9" t="str">
            <v>Yes</v>
          </cell>
          <cell r="H9" t="str">
            <v>Yes</v>
          </cell>
          <cell r="I9">
            <v>1</v>
          </cell>
          <cell r="J9">
            <v>1</v>
          </cell>
          <cell r="K9">
            <v>1</v>
          </cell>
          <cell r="L9">
            <v>1</v>
          </cell>
          <cell r="M9">
            <v>1</v>
          </cell>
          <cell r="N9">
            <v>0</v>
          </cell>
          <cell r="O9">
            <v>0</v>
          </cell>
          <cell r="P9">
            <v>0</v>
          </cell>
          <cell r="Q9">
            <v>0</v>
          </cell>
          <cell r="R9">
            <v>0</v>
          </cell>
          <cell r="S9">
            <v>0</v>
          </cell>
          <cell r="T9">
            <v>0</v>
          </cell>
          <cell r="U9" t="str">
            <v>wk-2</v>
          </cell>
        </row>
        <row r="10">
          <cell r="A10" t="str">
            <v>RMB-ACP-004</v>
          </cell>
          <cell r="B10" t="str">
            <v>Clock gate the PDM/VAD clocks</v>
          </cell>
          <cell r="C10" t="str">
            <v>P2</v>
          </cell>
          <cell r="D10" t="str">
            <v xml:space="preserve">acpaz68, </v>
          </cell>
          <cell r="E10" t="str">
            <v>VAD clock gating</v>
          </cell>
          <cell r="F10" t="str">
            <v>Legacy</v>
          </cell>
          <cell r="G10" t="str">
            <v>Yes</v>
          </cell>
          <cell r="H10" t="str">
            <v>Yes</v>
          </cell>
          <cell r="I10">
            <v>1</v>
          </cell>
          <cell r="J10">
            <v>1</v>
          </cell>
          <cell r="K10">
            <v>1</v>
          </cell>
          <cell r="L10">
            <v>1</v>
          </cell>
          <cell r="M10">
            <v>0</v>
          </cell>
          <cell r="N10">
            <v>0</v>
          </cell>
          <cell r="O10">
            <v>0</v>
          </cell>
          <cell r="P10">
            <v>0</v>
          </cell>
          <cell r="Q10">
            <v>0</v>
          </cell>
          <cell r="R10">
            <v>0</v>
          </cell>
          <cell r="S10">
            <v>0</v>
          </cell>
          <cell r="T10">
            <v>0</v>
          </cell>
          <cell r="U10" t="str">
            <v>wk-3</v>
          </cell>
        </row>
        <row r="11">
          <cell r="A11" t="str">
            <v>RMB-ACP-005</v>
          </cell>
          <cell r="B11" t="str">
            <v>ACP PGFSM power gating</v>
          </cell>
          <cell r="C11" t="str">
            <v>P2</v>
          </cell>
          <cell r="D11" t="str">
            <v xml:space="preserve">acpaz63.1, </v>
          </cell>
          <cell r="E11" t="str">
            <v>PGFSM</v>
          </cell>
          <cell r="F11" t="str">
            <v>Legacy</v>
          </cell>
          <cell r="G11" t="str">
            <v>Yes</v>
          </cell>
          <cell r="H11" t="str">
            <v>Yes</v>
          </cell>
          <cell r="I11">
            <v>1</v>
          </cell>
          <cell r="J11">
            <v>1</v>
          </cell>
          <cell r="K11">
            <v>1</v>
          </cell>
          <cell r="L11">
            <v>1</v>
          </cell>
          <cell r="M11">
            <v>1</v>
          </cell>
          <cell r="N11">
            <v>0</v>
          </cell>
          <cell r="O11">
            <v>0</v>
          </cell>
          <cell r="P11">
            <v>0</v>
          </cell>
          <cell r="Q11">
            <v>0</v>
          </cell>
          <cell r="R11">
            <v>0</v>
          </cell>
          <cell r="S11">
            <v>0</v>
          </cell>
          <cell r="T11">
            <v>0</v>
          </cell>
          <cell r="U11" t="str">
            <v>wk-3</v>
          </cell>
        </row>
        <row r="12">
          <cell r="A12" t="str">
            <v>RMB-ACP-006</v>
          </cell>
          <cell r="B12" t="str">
            <v>CAC indicator test</v>
          </cell>
          <cell r="C12" t="str">
            <v>P2</v>
          </cell>
          <cell r="D12" t="str">
            <v xml:space="preserve">acpaz69.1, </v>
          </cell>
          <cell r="E12" t="str">
            <v>PGFSM</v>
          </cell>
          <cell r="F12" t="str">
            <v>Legacy</v>
          </cell>
          <cell r="G12" t="str">
            <v>Yes</v>
          </cell>
          <cell r="H12" t="str">
            <v>Yes</v>
          </cell>
          <cell r="I12">
            <v>1</v>
          </cell>
          <cell r="J12">
            <v>1</v>
          </cell>
          <cell r="K12">
            <v>1</v>
          </cell>
          <cell r="L12">
            <v>1</v>
          </cell>
          <cell r="M12">
            <v>1</v>
          </cell>
          <cell r="N12">
            <v>0</v>
          </cell>
          <cell r="O12">
            <v>0</v>
          </cell>
          <cell r="P12">
            <v>0</v>
          </cell>
          <cell r="Q12">
            <v>0</v>
          </cell>
          <cell r="R12">
            <v>0</v>
          </cell>
          <cell r="S12">
            <v>0</v>
          </cell>
          <cell r="T12">
            <v>0</v>
          </cell>
          <cell r="U12" t="str">
            <v>wk-1</v>
          </cell>
        </row>
        <row r="13">
          <cell r="A13" t="str">
            <v>RMB-ACP-007</v>
          </cell>
          <cell r="B13" t="str">
            <v>ACP Deep sleep all memory banks</v>
          </cell>
          <cell r="C13" t="str">
            <v>P2</v>
          </cell>
          <cell r="D13" t="str">
            <v xml:space="preserve">acpaz292.1-2, </v>
          </cell>
          <cell r="E13" t="str">
            <v>PGFSM</v>
          </cell>
          <cell r="F13" t="str">
            <v>Legacy</v>
          </cell>
          <cell r="G13" t="str">
            <v>Yes</v>
          </cell>
          <cell r="H13" t="str">
            <v>Yes</v>
          </cell>
          <cell r="I13">
            <v>2</v>
          </cell>
          <cell r="J13">
            <v>2</v>
          </cell>
          <cell r="K13">
            <v>1</v>
          </cell>
          <cell r="L13">
            <v>1</v>
          </cell>
          <cell r="M13">
            <v>2</v>
          </cell>
          <cell r="N13">
            <v>0</v>
          </cell>
          <cell r="O13">
            <v>0</v>
          </cell>
          <cell r="P13">
            <v>0</v>
          </cell>
          <cell r="Q13">
            <v>0</v>
          </cell>
          <cell r="R13">
            <v>0</v>
          </cell>
          <cell r="S13">
            <v>0</v>
          </cell>
          <cell r="T13">
            <v>0</v>
          </cell>
          <cell r="U13" t="str">
            <v>wk-1</v>
          </cell>
        </row>
        <row r="14">
          <cell r="A14" t="str">
            <v>RMB-ACP-008</v>
          </cell>
          <cell r="B14" t="str">
            <v>Soft Reset with AZ transfer
ACP Soft reset mode 0 during DMA transfer
DMA Soft reset mode 0 during DMA transfer
DSP Soft reset mode 0 during DMA transfer
Hard Reset with DMA transfer
ACP Soft reset mode 1 during DMA transfer
DMA Soft reset mode 1 during DMA transfer
DSP Soft reset mode 1 during DMA transfer</v>
          </cell>
          <cell r="C14" t="str">
            <v>P2</v>
          </cell>
          <cell r="D14" t="str">
            <v xml:space="preserve">N/A, acpaz31.1, acpaz31.2, acpaz32.1, acpaz34, acpaz31.3, acpaz31.4, acpaz32.2, </v>
          </cell>
          <cell r="E14" t="str">
            <v>Reset Test</v>
          </cell>
          <cell r="F14" t="str">
            <v>Legacy</v>
          </cell>
          <cell r="G14" t="str">
            <v>Yes</v>
          </cell>
          <cell r="H14" t="str">
            <v>Yes</v>
          </cell>
          <cell r="I14">
            <v>8</v>
          </cell>
          <cell r="J14">
            <v>9</v>
          </cell>
          <cell r="K14">
            <v>1</v>
          </cell>
          <cell r="L14">
            <v>1</v>
          </cell>
          <cell r="M14">
            <v>8</v>
          </cell>
          <cell r="N14">
            <v>4</v>
          </cell>
          <cell r="O14">
            <v>0.5</v>
          </cell>
          <cell r="P14">
            <v>0</v>
          </cell>
          <cell r="Q14">
            <v>0</v>
          </cell>
          <cell r="R14">
            <v>0</v>
          </cell>
          <cell r="S14">
            <v>0</v>
          </cell>
          <cell r="T14">
            <v>0</v>
          </cell>
          <cell r="U14" t="str">
            <v>wk-2</v>
          </cell>
        </row>
        <row r="15">
          <cell r="A15" t="str">
            <v>RMB-ACP-009</v>
          </cell>
          <cell r="B15" t="str">
            <v>DMA with all channels active with maximum transfer count (with transfers to DSP DRAM, ACP scratch memory and system memory)</v>
          </cell>
          <cell r="C15" t="str">
            <v>P2</v>
          </cell>
          <cell r="D15" t="str">
            <v xml:space="preserve">acpaz4.1-3, </v>
          </cell>
          <cell r="E15" t="str">
            <v>DMA</v>
          </cell>
          <cell r="F15" t="str">
            <v>Legacy</v>
          </cell>
          <cell r="G15" t="str">
            <v>Yes</v>
          </cell>
          <cell r="H15" t="str">
            <v>Yes</v>
          </cell>
          <cell r="I15">
            <v>1</v>
          </cell>
          <cell r="J15">
            <v>3</v>
          </cell>
          <cell r="K15">
            <v>1</v>
          </cell>
          <cell r="L15">
            <v>1</v>
          </cell>
          <cell r="M15">
            <v>3</v>
          </cell>
          <cell r="N15">
            <v>3</v>
          </cell>
          <cell r="O15">
            <v>1</v>
          </cell>
          <cell r="P15">
            <v>0</v>
          </cell>
          <cell r="Q15">
            <v>0</v>
          </cell>
          <cell r="R15">
            <v>0</v>
          </cell>
          <cell r="S15">
            <v>0</v>
          </cell>
          <cell r="T15">
            <v>0</v>
          </cell>
          <cell r="U15" t="str">
            <v>wk-2</v>
          </cell>
        </row>
        <row r="16">
          <cell r="A16" t="str">
            <v>RMB-ACP-010</v>
          </cell>
          <cell r="B16" t="str">
            <v>DMA with single channel single descriptor
DMA with single channel multiple descriptor</v>
          </cell>
          <cell r="C16" t="str">
            <v>P2</v>
          </cell>
          <cell r="D16" t="str">
            <v xml:space="preserve">acpaz2, acpaz3.1-4, </v>
          </cell>
          <cell r="E16" t="str">
            <v>DMA</v>
          </cell>
          <cell r="F16" t="str">
            <v>Legacy</v>
          </cell>
          <cell r="G16" t="str">
            <v>Yes</v>
          </cell>
          <cell r="H16" t="str">
            <v>Yes</v>
          </cell>
          <cell r="I16">
            <v>2</v>
          </cell>
          <cell r="J16">
            <v>5</v>
          </cell>
          <cell r="K16">
            <v>1</v>
          </cell>
          <cell r="L16">
            <v>1</v>
          </cell>
          <cell r="M16">
            <v>5</v>
          </cell>
          <cell r="N16">
            <v>5</v>
          </cell>
          <cell r="O16">
            <v>1</v>
          </cell>
          <cell r="P16">
            <v>0</v>
          </cell>
          <cell r="Q16">
            <v>0</v>
          </cell>
          <cell r="R16">
            <v>0</v>
          </cell>
          <cell r="S16">
            <v>0</v>
          </cell>
          <cell r="T16">
            <v>0</v>
          </cell>
          <cell r="U16" t="str">
            <v>wk-2</v>
          </cell>
        </row>
        <row r="17">
          <cell r="A17" t="str">
            <v>RMB-ACP-011</v>
          </cell>
          <cell r="B17" t="str">
            <v>Maximum DMA channel transfer test</v>
          </cell>
          <cell r="C17" t="str">
            <v>P2</v>
          </cell>
          <cell r="D17" t="str">
            <v xml:space="preserve">acpaz4.1-3, </v>
          </cell>
          <cell r="E17" t="str">
            <v>DMA</v>
          </cell>
          <cell r="F17" t="str">
            <v>Legacy</v>
          </cell>
          <cell r="G17" t="str">
            <v>Yes</v>
          </cell>
          <cell r="H17" t="str">
            <v>Yes</v>
          </cell>
          <cell r="I17">
            <v>1</v>
          </cell>
          <cell r="J17">
            <v>3</v>
          </cell>
          <cell r="K17">
            <v>1</v>
          </cell>
          <cell r="L17">
            <v>1</v>
          </cell>
          <cell r="M17">
            <v>3</v>
          </cell>
          <cell r="N17">
            <v>3</v>
          </cell>
          <cell r="O17">
            <v>1</v>
          </cell>
          <cell r="P17">
            <v>0</v>
          </cell>
          <cell r="Q17">
            <v>0</v>
          </cell>
          <cell r="R17">
            <v>0</v>
          </cell>
          <cell r="S17">
            <v>0</v>
          </cell>
          <cell r="T17">
            <v>0</v>
          </cell>
          <cell r="U17" t="str">
            <v>wk-3</v>
          </cell>
        </row>
        <row r="18">
          <cell r="A18" t="str">
            <v>RMB-ACP-012</v>
          </cell>
          <cell r="B18" t="str">
            <v>Maximum DMA channel transfer test</v>
          </cell>
          <cell r="C18" t="str">
            <v>P2</v>
          </cell>
          <cell r="D18" t="str">
            <v xml:space="preserve">acpaz2, </v>
          </cell>
          <cell r="E18" t="str">
            <v>DMA</v>
          </cell>
          <cell r="F18" t="str">
            <v>Legacy</v>
          </cell>
          <cell r="G18" t="str">
            <v>Yes</v>
          </cell>
          <cell r="H18" t="str">
            <v>Yes</v>
          </cell>
          <cell r="I18">
            <v>1</v>
          </cell>
          <cell r="J18">
            <v>1</v>
          </cell>
          <cell r="K18">
            <v>1</v>
          </cell>
          <cell r="L18">
            <v>1</v>
          </cell>
          <cell r="M18">
            <v>1</v>
          </cell>
          <cell r="N18">
            <v>1</v>
          </cell>
          <cell r="O18">
            <v>1</v>
          </cell>
          <cell r="P18">
            <v>0</v>
          </cell>
          <cell r="Q18">
            <v>0</v>
          </cell>
          <cell r="R18">
            <v>0</v>
          </cell>
          <cell r="S18">
            <v>0</v>
          </cell>
          <cell r="T18">
            <v>0</v>
          </cell>
          <cell r="U18" t="str">
            <v>wk-1</v>
          </cell>
        </row>
        <row r="19">
          <cell r="A19" t="str">
            <v>RMB-ACP-013</v>
          </cell>
          <cell r="B19" t="str">
            <v>DMA Error config (multiple sub-tests)</v>
          </cell>
          <cell r="C19" t="str">
            <v>P2</v>
          </cell>
          <cell r="D19" t="str">
            <v xml:space="preserve">acpaz7.1-5, </v>
          </cell>
          <cell r="E19" t="str">
            <v>DMA</v>
          </cell>
          <cell r="F19" t="str">
            <v>Legacy</v>
          </cell>
          <cell r="G19" t="str">
            <v>Yes</v>
          </cell>
          <cell r="H19" t="str">
            <v>Yes</v>
          </cell>
          <cell r="I19">
            <v>1</v>
          </cell>
          <cell r="J19">
            <v>5</v>
          </cell>
          <cell r="K19">
            <v>1</v>
          </cell>
          <cell r="L19">
            <v>1</v>
          </cell>
          <cell r="M19">
            <v>5</v>
          </cell>
          <cell r="N19">
            <v>5</v>
          </cell>
          <cell r="O19">
            <v>1</v>
          </cell>
          <cell r="P19">
            <v>0</v>
          </cell>
          <cell r="Q19">
            <v>0</v>
          </cell>
          <cell r="R19">
            <v>0</v>
          </cell>
          <cell r="S19">
            <v>0</v>
          </cell>
          <cell r="T19">
            <v>0</v>
          </cell>
          <cell r="U19" t="str">
            <v>wk-1</v>
          </cell>
        </row>
        <row r="20">
          <cell r="A20" t="str">
            <v>RMB-ACP-014</v>
          </cell>
          <cell r="B20" t="str">
            <v>channel graceful reset with circular DMA</v>
          </cell>
          <cell r="C20" t="str">
            <v>P2</v>
          </cell>
          <cell r="D20" t="str">
            <v xml:space="preserve">acpaz5, </v>
          </cell>
          <cell r="E20" t="str">
            <v>DMA</v>
          </cell>
          <cell r="F20" t="str">
            <v>Legacy</v>
          </cell>
          <cell r="G20" t="str">
            <v>Yes</v>
          </cell>
          <cell r="H20" t="str">
            <v>Yes</v>
          </cell>
          <cell r="I20">
            <v>1</v>
          </cell>
          <cell r="J20">
            <v>1</v>
          </cell>
          <cell r="K20">
            <v>1</v>
          </cell>
          <cell r="L20">
            <v>1</v>
          </cell>
          <cell r="M20">
            <v>1</v>
          </cell>
          <cell r="N20">
            <v>1</v>
          </cell>
          <cell r="O20">
            <v>1</v>
          </cell>
          <cell r="P20">
            <v>0</v>
          </cell>
          <cell r="Q20">
            <v>0</v>
          </cell>
          <cell r="R20">
            <v>0</v>
          </cell>
          <cell r="S20">
            <v>0</v>
          </cell>
          <cell r="T20">
            <v>0</v>
          </cell>
          <cell r="U20" t="str">
            <v>wk-1</v>
          </cell>
        </row>
        <row r="21">
          <cell r="A21" t="str">
            <v>RMB-ACP-015</v>
          </cell>
          <cell r="B21" t="str">
            <v>DMA interrupt on completion</v>
          </cell>
          <cell r="C21" t="str">
            <v>P2</v>
          </cell>
          <cell r="D21" t="str">
            <v xml:space="preserve">acpaz2, </v>
          </cell>
          <cell r="E21" t="str">
            <v>DMA</v>
          </cell>
          <cell r="F21" t="str">
            <v>Legacy</v>
          </cell>
          <cell r="G21" t="str">
            <v>Yes</v>
          </cell>
          <cell r="H21" t="str">
            <v>Yes</v>
          </cell>
          <cell r="I21">
            <v>1</v>
          </cell>
          <cell r="J21">
            <v>1</v>
          </cell>
          <cell r="K21">
            <v>1</v>
          </cell>
          <cell r="L21">
            <v>1</v>
          </cell>
          <cell r="M21">
            <v>1</v>
          </cell>
          <cell r="N21">
            <v>1</v>
          </cell>
          <cell r="O21">
            <v>1</v>
          </cell>
          <cell r="P21">
            <v>0</v>
          </cell>
          <cell r="Q21">
            <v>0</v>
          </cell>
          <cell r="R21">
            <v>0</v>
          </cell>
          <cell r="S21">
            <v>0</v>
          </cell>
          <cell r="T21">
            <v>0</v>
          </cell>
          <cell r="U21" t="str">
            <v>wk-1</v>
          </cell>
        </row>
        <row r="22">
          <cell r="A22" t="str">
            <v>RMB-ACP-016</v>
          </cell>
          <cell r="B22" t="str">
            <v>Assign random priorities and check nothing is broken
Add address ranges in DMA to access increased memory,
execute with increased descriptors</v>
          </cell>
          <cell r="C22" t="str">
            <v>P2</v>
          </cell>
          <cell r="D22" t="str">
            <v xml:space="preserve">acpaz2, acpaz203, </v>
          </cell>
          <cell r="E22" t="str">
            <v>DMA</v>
          </cell>
          <cell r="F22" t="str">
            <v>Legacy</v>
          </cell>
          <cell r="G22" t="str">
            <v>Yes</v>
          </cell>
          <cell r="H22" t="str">
            <v>Yes</v>
          </cell>
          <cell r="I22">
            <v>2</v>
          </cell>
          <cell r="J22">
            <v>2</v>
          </cell>
          <cell r="K22">
            <v>1</v>
          </cell>
          <cell r="L22">
            <v>1</v>
          </cell>
          <cell r="M22">
            <v>2</v>
          </cell>
          <cell r="N22">
            <v>1</v>
          </cell>
          <cell r="O22">
            <v>0.5</v>
          </cell>
          <cell r="P22">
            <v>0</v>
          </cell>
          <cell r="Q22">
            <v>0</v>
          </cell>
          <cell r="R22">
            <v>0</v>
          </cell>
          <cell r="S22">
            <v>0</v>
          </cell>
          <cell r="T22">
            <v>0</v>
          </cell>
          <cell r="U22" t="str">
            <v>wk-1</v>
          </cell>
        </row>
        <row r="23">
          <cell r="A23" t="str">
            <v>RMB-ACP-017</v>
          </cell>
          <cell r="B23" t="str">
            <v>DMA access to DRAM</v>
          </cell>
          <cell r="C23" t="str">
            <v>P2</v>
          </cell>
          <cell r="D23" t="str">
            <v xml:space="preserve">acpaz27.1, </v>
          </cell>
          <cell r="E23" t="str">
            <v>DMA</v>
          </cell>
          <cell r="F23" t="str">
            <v>Legacy</v>
          </cell>
          <cell r="G23" t="str">
            <v>Yes</v>
          </cell>
          <cell r="H23" t="str">
            <v>Yes</v>
          </cell>
          <cell r="I23">
            <v>1</v>
          </cell>
          <cell r="J23">
            <v>2</v>
          </cell>
          <cell r="K23">
            <v>1</v>
          </cell>
          <cell r="L23">
            <v>1</v>
          </cell>
          <cell r="M23">
            <v>2</v>
          </cell>
          <cell r="N23">
            <v>2</v>
          </cell>
          <cell r="O23">
            <v>1</v>
          </cell>
          <cell r="P23">
            <v>0</v>
          </cell>
          <cell r="Q23">
            <v>0</v>
          </cell>
          <cell r="R23">
            <v>0</v>
          </cell>
          <cell r="S23">
            <v>0</v>
          </cell>
          <cell r="T23">
            <v>0</v>
          </cell>
          <cell r="U23" t="str">
            <v>wk-2</v>
          </cell>
        </row>
        <row r="24">
          <cell r="A24" t="str">
            <v>RMB-ACP-018</v>
          </cell>
          <cell r="B24" t="str">
            <v>DMA Position tracking counters</v>
          </cell>
          <cell r="C24" t="str">
            <v>P2</v>
          </cell>
          <cell r="D24" t="str">
            <v xml:space="preserve">Manual, </v>
          </cell>
          <cell r="E24" t="str">
            <v>Position tracking counters</v>
          </cell>
          <cell r="F24" t="str">
            <v>Delta</v>
          </cell>
          <cell r="G24" t="str">
            <v>Yes</v>
          </cell>
          <cell r="H24" t="str">
            <v>Yes</v>
          </cell>
          <cell r="I24">
            <v>1</v>
          </cell>
          <cell r="J24">
            <v>1</v>
          </cell>
          <cell r="K24">
            <v>1</v>
          </cell>
          <cell r="L24">
            <v>1</v>
          </cell>
          <cell r="M24">
            <v>1</v>
          </cell>
          <cell r="N24">
            <v>0</v>
          </cell>
          <cell r="O24">
            <v>0</v>
          </cell>
          <cell r="P24">
            <v>0</v>
          </cell>
          <cell r="Q24">
            <v>0</v>
          </cell>
          <cell r="R24">
            <v>0</v>
          </cell>
          <cell r="S24">
            <v>0</v>
          </cell>
          <cell r="T24">
            <v>0</v>
          </cell>
          <cell r="U24" t="str">
            <v>wk-2</v>
          </cell>
        </row>
        <row r="25">
          <cell r="A25" t="str">
            <v>RMB-ACP-019</v>
          </cell>
          <cell r="B25" t="str">
            <v>SMN Master Interface Test</v>
          </cell>
          <cell r="C25" t="str">
            <v>P2</v>
          </cell>
          <cell r="D25" t="str">
            <v xml:space="preserve">acpaz66, </v>
          </cell>
          <cell r="E25" t="str">
            <v>DSP Test</v>
          </cell>
          <cell r="F25" t="str">
            <v>Delta</v>
          </cell>
          <cell r="G25" t="str">
            <v>Yes</v>
          </cell>
          <cell r="H25" t="str">
            <v>Yes</v>
          </cell>
          <cell r="I25">
            <v>1</v>
          </cell>
          <cell r="J25">
            <v>1</v>
          </cell>
          <cell r="K25">
            <v>1</v>
          </cell>
          <cell r="L25">
            <v>1</v>
          </cell>
          <cell r="M25">
            <v>1</v>
          </cell>
          <cell r="N25">
            <v>0</v>
          </cell>
          <cell r="O25">
            <v>0</v>
          </cell>
          <cell r="P25">
            <v>0</v>
          </cell>
          <cell r="Q25">
            <v>0</v>
          </cell>
          <cell r="R25">
            <v>0</v>
          </cell>
          <cell r="S25">
            <v>0</v>
          </cell>
          <cell r="T25">
            <v>0</v>
          </cell>
          <cell r="U25" t="str">
            <v>wk-2</v>
          </cell>
        </row>
        <row r="26">
          <cell r="A26" t="str">
            <v>RMB-ACP-020</v>
          </cell>
          <cell r="B26" t="str">
            <v xml:space="preserve">DSP Master Interface Test
</v>
          </cell>
          <cell r="C26" t="str">
            <v>P2</v>
          </cell>
          <cell r="D26" t="str">
            <v xml:space="preserve">acpaz20.1-7, </v>
          </cell>
          <cell r="E26" t="str">
            <v>DSP Test</v>
          </cell>
          <cell r="F26" t="str">
            <v>Delta</v>
          </cell>
          <cell r="G26" t="str">
            <v>Yes</v>
          </cell>
          <cell r="H26" t="str">
            <v>Yes</v>
          </cell>
          <cell r="I26">
            <v>1</v>
          </cell>
          <cell r="J26">
            <v>448</v>
          </cell>
          <cell r="K26">
            <v>1</v>
          </cell>
          <cell r="L26">
            <v>1</v>
          </cell>
          <cell r="M26">
            <v>448</v>
          </cell>
          <cell r="N26">
            <v>448</v>
          </cell>
          <cell r="O26">
            <v>1</v>
          </cell>
          <cell r="P26">
            <v>0</v>
          </cell>
          <cell r="Q26">
            <v>0</v>
          </cell>
          <cell r="R26">
            <v>0</v>
          </cell>
          <cell r="S26">
            <v>0</v>
          </cell>
          <cell r="T26">
            <v>0</v>
          </cell>
          <cell r="U26" t="str">
            <v>wk-2</v>
          </cell>
        </row>
        <row r="27">
          <cell r="A27" t="str">
            <v>RMB-ACP-021</v>
          </cell>
          <cell r="B27" t="str">
            <v xml:space="preserve">FW image in system memory, need to use all cache windows </v>
          </cell>
          <cell r="C27" t="str">
            <v>P2</v>
          </cell>
          <cell r="D27" t="str">
            <v xml:space="preserve">acpaz20.1-7, </v>
          </cell>
          <cell r="E27" t="str">
            <v>DSP Test</v>
          </cell>
          <cell r="F27" t="str">
            <v>Delta</v>
          </cell>
          <cell r="G27" t="str">
            <v>Yes</v>
          </cell>
          <cell r="H27" t="str">
            <v>Yes</v>
          </cell>
          <cell r="I27">
            <v>1</v>
          </cell>
          <cell r="J27">
            <v>2</v>
          </cell>
          <cell r="K27">
            <v>1</v>
          </cell>
          <cell r="L27">
            <v>1</v>
          </cell>
          <cell r="M27">
            <v>2</v>
          </cell>
          <cell r="N27">
            <v>2</v>
          </cell>
          <cell r="O27">
            <v>1</v>
          </cell>
          <cell r="P27">
            <v>0</v>
          </cell>
          <cell r="Q27">
            <v>0</v>
          </cell>
          <cell r="R27">
            <v>0</v>
          </cell>
          <cell r="S27">
            <v>0</v>
          </cell>
          <cell r="T27">
            <v>0</v>
          </cell>
          <cell r="U27" t="str">
            <v>wk-3</v>
          </cell>
        </row>
        <row r="28">
          <cell r="A28" t="str">
            <v>RMB-ACP-022</v>
          </cell>
          <cell r="B28" t="str">
            <v>ACP Timer interrupt check</v>
          </cell>
          <cell r="C28" t="str">
            <v>P2</v>
          </cell>
          <cell r="D28" t="str">
            <v xml:space="preserve">acpaz41.1-3, </v>
          </cell>
          <cell r="E28" t="str">
            <v>Interrupt Test</v>
          </cell>
          <cell r="F28" t="str">
            <v>Delta</v>
          </cell>
          <cell r="G28" t="str">
            <v>Yes</v>
          </cell>
          <cell r="H28" t="str">
            <v>Yes</v>
          </cell>
          <cell r="I28">
            <v>1</v>
          </cell>
          <cell r="J28">
            <v>3</v>
          </cell>
          <cell r="K28">
            <v>1</v>
          </cell>
          <cell r="L28">
            <v>1</v>
          </cell>
          <cell r="M28">
            <v>3</v>
          </cell>
          <cell r="N28">
            <v>2</v>
          </cell>
          <cell r="O28">
            <v>0.66666666666666663</v>
          </cell>
          <cell r="P28">
            <v>0</v>
          </cell>
          <cell r="Q28">
            <v>0</v>
          </cell>
          <cell r="R28">
            <v>0</v>
          </cell>
          <cell r="S28">
            <v>0</v>
          </cell>
          <cell r="T28">
            <v>0</v>
          </cell>
          <cell r="U28" t="str">
            <v>wk-3</v>
          </cell>
        </row>
        <row r="29">
          <cell r="A29" t="str">
            <v>RMB-ACP-023</v>
          </cell>
          <cell r="B29" t="str">
            <v>1 Watchdog timer interrupt check</v>
          </cell>
          <cell r="C29" t="str">
            <v>P2</v>
          </cell>
          <cell r="D29" t="str">
            <v xml:space="preserve">acpaz42, </v>
          </cell>
          <cell r="E29" t="str">
            <v>Interrupt Test</v>
          </cell>
          <cell r="F29" t="str">
            <v>Delta</v>
          </cell>
          <cell r="G29" t="str">
            <v>Yes</v>
          </cell>
          <cell r="H29" t="str">
            <v>Yes</v>
          </cell>
          <cell r="I29">
            <v>1</v>
          </cell>
          <cell r="J29">
            <v>2</v>
          </cell>
          <cell r="K29">
            <v>1</v>
          </cell>
          <cell r="L29">
            <v>1</v>
          </cell>
          <cell r="M29">
            <v>2</v>
          </cell>
          <cell r="N29">
            <v>2</v>
          </cell>
          <cell r="O29">
            <v>1</v>
          </cell>
          <cell r="P29">
            <v>0</v>
          </cell>
          <cell r="Q29">
            <v>0</v>
          </cell>
          <cell r="R29">
            <v>0</v>
          </cell>
          <cell r="S29">
            <v>0</v>
          </cell>
          <cell r="T29">
            <v>0</v>
          </cell>
          <cell r="U29" t="str">
            <v>wk-3</v>
          </cell>
        </row>
        <row r="30">
          <cell r="A30" t="str">
            <v>RMB-ACP-024</v>
          </cell>
          <cell r="B30" t="str">
            <v>DSP software interrupt check</v>
          </cell>
          <cell r="C30" t="str">
            <v>P2</v>
          </cell>
          <cell r="D30" t="str">
            <v xml:space="preserve">acpaz43.1-3, </v>
          </cell>
          <cell r="E30" t="str">
            <v>Interrupt Test</v>
          </cell>
          <cell r="F30" t="str">
            <v>Delta</v>
          </cell>
          <cell r="G30" t="str">
            <v>Yes</v>
          </cell>
          <cell r="H30" t="str">
            <v>Yes</v>
          </cell>
          <cell r="I30">
            <v>1</v>
          </cell>
          <cell r="J30">
            <v>3</v>
          </cell>
          <cell r="K30">
            <v>1</v>
          </cell>
          <cell r="L30">
            <v>1</v>
          </cell>
          <cell r="M30">
            <v>3</v>
          </cell>
          <cell r="N30">
            <v>3</v>
          </cell>
          <cell r="O30">
            <v>1</v>
          </cell>
          <cell r="P30">
            <v>0</v>
          </cell>
          <cell r="Q30">
            <v>0</v>
          </cell>
          <cell r="R30">
            <v>0</v>
          </cell>
          <cell r="S30">
            <v>0</v>
          </cell>
          <cell r="T30">
            <v>0</v>
          </cell>
          <cell r="U30" t="str">
            <v>wk-3</v>
          </cell>
        </row>
        <row r="31">
          <cell r="A31" t="str">
            <v>RMB-ACP-025</v>
          </cell>
          <cell r="B31" t="str">
            <v>ACP interrupt check</v>
          </cell>
          <cell r="C31" t="str">
            <v>P2</v>
          </cell>
          <cell r="D31" t="str">
            <v xml:space="preserve">acpaz25.1-14, </v>
          </cell>
          <cell r="E31" t="str">
            <v>Interrupt Test</v>
          </cell>
          <cell r="F31" t="str">
            <v>Delta</v>
          </cell>
          <cell r="G31" t="str">
            <v>Yes</v>
          </cell>
          <cell r="H31" t="str">
            <v>Yes</v>
          </cell>
          <cell r="I31">
            <v>1</v>
          </cell>
          <cell r="J31">
            <v>28</v>
          </cell>
          <cell r="K31">
            <v>1</v>
          </cell>
          <cell r="L31">
            <v>1</v>
          </cell>
          <cell r="M31">
            <v>28</v>
          </cell>
          <cell r="N31">
            <v>0</v>
          </cell>
          <cell r="O31">
            <v>0</v>
          </cell>
          <cell r="P31">
            <v>0</v>
          </cell>
          <cell r="Q31">
            <v>0</v>
          </cell>
          <cell r="R31">
            <v>0</v>
          </cell>
          <cell r="S31">
            <v>0</v>
          </cell>
          <cell r="T31">
            <v>0</v>
          </cell>
          <cell r="U31" t="str">
            <v>wk-4</v>
          </cell>
        </row>
        <row r="32">
          <cell r="A32" t="str">
            <v>RMB-ACP-026</v>
          </cell>
          <cell r="B32" t="str">
            <v>ACP to host interrupt check for error</v>
          </cell>
          <cell r="C32" t="str">
            <v>P2</v>
          </cell>
          <cell r="D32" t="str">
            <v xml:space="preserve">acpaz94.1-4, </v>
          </cell>
          <cell r="E32" t="str">
            <v>Interrupt Test</v>
          </cell>
          <cell r="F32" t="str">
            <v>Delta</v>
          </cell>
          <cell r="G32" t="str">
            <v>Yes</v>
          </cell>
          <cell r="H32" t="str">
            <v>Yes</v>
          </cell>
          <cell r="I32">
            <v>1</v>
          </cell>
          <cell r="J32">
            <v>8</v>
          </cell>
          <cell r="K32">
            <v>1</v>
          </cell>
          <cell r="L32">
            <v>1</v>
          </cell>
          <cell r="M32">
            <v>8</v>
          </cell>
          <cell r="N32">
            <v>0</v>
          </cell>
          <cell r="O32">
            <v>0</v>
          </cell>
          <cell r="P32">
            <v>0</v>
          </cell>
          <cell r="Q32">
            <v>0</v>
          </cell>
          <cell r="R32">
            <v>0</v>
          </cell>
          <cell r="S32">
            <v>0</v>
          </cell>
          <cell r="T32">
            <v>0</v>
          </cell>
          <cell r="U32" t="str">
            <v>wk-4</v>
          </cell>
        </row>
        <row r="33">
          <cell r="A33" t="str">
            <v>RMB-ACP-027</v>
          </cell>
          <cell r="B33" t="str">
            <v>DSP status and error interrupt
Interrupt routing from different sources to the different pins</v>
          </cell>
          <cell r="C33" t="str">
            <v>P2</v>
          </cell>
          <cell r="D33" t="str">
            <v xml:space="preserve">acpaz94.1-4, </v>
          </cell>
          <cell r="E33" t="str">
            <v>Interrupt Test</v>
          </cell>
          <cell r="F33" t="str">
            <v>Delta</v>
          </cell>
          <cell r="G33" t="str">
            <v>Yes</v>
          </cell>
          <cell r="H33" t="str">
            <v>Yes</v>
          </cell>
          <cell r="I33">
            <v>1</v>
          </cell>
          <cell r="J33">
            <v>8</v>
          </cell>
          <cell r="K33">
            <v>1</v>
          </cell>
          <cell r="L33">
            <v>1</v>
          </cell>
          <cell r="M33">
            <v>8</v>
          </cell>
          <cell r="N33">
            <v>0</v>
          </cell>
          <cell r="O33">
            <v>0</v>
          </cell>
          <cell r="P33">
            <v>0</v>
          </cell>
          <cell r="Q33">
            <v>0</v>
          </cell>
          <cell r="R33">
            <v>0</v>
          </cell>
          <cell r="S33">
            <v>0</v>
          </cell>
          <cell r="T33">
            <v>0</v>
          </cell>
          <cell r="U33" t="str">
            <v>wk-3</v>
          </cell>
        </row>
        <row r="34">
          <cell r="A34" t="str">
            <v>RMB-ACP-028</v>
          </cell>
          <cell r="B34" t="str">
            <v>Internal DSP interrupt for debugging</v>
          </cell>
          <cell r="C34" t="str">
            <v>P2</v>
          </cell>
          <cell r="D34" t="str">
            <v xml:space="preserve">acpaz30.1-5, </v>
          </cell>
          <cell r="E34" t="str">
            <v>Interrupt Test</v>
          </cell>
          <cell r="F34" t="str">
            <v>Delta</v>
          </cell>
          <cell r="G34" t="str">
            <v>Yes</v>
          </cell>
          <cell r="H34" t="str">
            <v>Yes</v>
          </cell>
          <cell r="I34">
            <v>1</v>
          </cell>
          <cell r="J34">
            <v>10</v>
          </cell>
          <cell r="K34">
            <v>1</v>
          </cell>
          <cell r="L34">
            <v>1</v>
          </cell>
          <cell r="M34">
            <v>10</v>
          </cell>
          <cell r="N34">
            <v>9</v>
          </cell>
          <cell r="O34">
            <v>0.9</v>
          </cell>
          <cell r="P34">
            <v>0</v>
          </cell>
          <cell r="Q34">
            <v>0</v>
          </cell>
          <cell r="R34">
            <v>0</v>
          </cell>
          <cell r="S34">
            <v>0</v>
          </cell>
          <cell r="T34">
            <v>0</v>
          </cell>
          <cell r="U34" t="str">
            <v>wk-3</v>
          </cell>
        </row>
        <row r="35">
          <cell r="A35" t="str">
            <v>RMB-ACP-029</v>
          </cell>
          <cell r="B35" t="str">
            <v>Xtensa internal interrupts</v>
          </cell>
          <cell r="C35" t="str">
            <v>P2</v>
          </cell>
          <cell r="D35" t="str">
            <v xml:space="preserve">acpaz94.1-4, </v>
          </cell>
          <cell r="E35" t="str">
            <v>Interrupt Test</v>
          </cell>
          <cell r="F35" t="str">
            <v>Delta</v>
          </cell>
          <cell r="G35" t="str">
            <v>Yes</v>
          </cell>
          <cell r="H35" t="str">
            <v>Yes</v>
          </cell>
          <cell r="I35">
            <v>1</v>
          </cell>
          <cell r="J35">
            <v>8</v>
          </cell>
          <cell r="K35">
            <v>1</v>
          </cell>
          <cell r="L35">
            <v>1</v>
          </cell>
          <cell r="M35">
            <v>8</v>
          </cell>
          <cell r="N35">
            <v>0</v>
          </cell>
          <cell r="O35">
            <v>0</v>
          </cell>
          <cell r="P35">
            <v>0</v>
          </cell>
          <cell r="Q35">
            <v>0</v>
          </cell>
          <cell r="R35">
            <v>0</v>
          </cell>
          <cell r="S35">
            <v>0</v>
          </cell>
          <cell r="T35">
            <v>0</v>
          </cell>
          <cell r="U35" t="str">
            <v>wk-4</v>
          </cell>
        </row>
        <row r="36">
          <cell r="A36" t="str">
            <v>RMB-ACP-030</v>
          </cell>
          <cell r="B36" t="str">
            <v>Signal asserted if no response from SYSHUB interface</v>
          </cell>
          <cell r="C36" t="str">
            <v>P2</v>
          </cell>
          <cell r="D36" t="str">
            <v xml:space="preserve">, </v>
          </cell>
          <cell r="E36" t="str">
            <v>Syshub Interface</v>
          </cell>
          <cell r="F36" t="str">
            <v>Delta</v>
          </cell>
          <cell r="G36" t="str">
            <v>Yes</v>
          </cell>
          <cell r="H36" t="str">
            <v>Yes</v>
          </cell>
          <cell r="I36">
            <v>1</v>
          </cell>
          <cell r="J36">
            <v>1</v>
          </cell>
          <cell r="K36">
            <v>1</v>
          </cell>
          <cell r="L36">
            <v>1</v>
          </cell>
          <cell r="M36">
            <v>0</v>
          </cell>
          <cell r="N36">
            <v>0</v>
          </cell>
          <cell r="O36">
            <v>0</v>
          </cell>
          <cell r="P36">
            <v>0</v>
          </cell>
          <cell r="Q36">
            <v>0</v>
          </cell>
          <cell r="R36">
            <v>0</v>
          </cell>
          <cell r="S36">
            <v>0</v>
          </cell>
          <cell r="T36">
            <v>0</v>
          </cell>
          <cell r="U36" t="str">
            <v>wk-3</v>
          </cell>
        </row>
        <row r="37">
          <cell r="A37" t="str">
            <v>RMB-ACP-031</v>
          </cell>
          <cell r="B37" t="str">
            <v>Urgent interrupt check</v>
          </cell>
          <cell r="C37" t="str">
            <v>P2</v>
          </cell>
          <cell r="D37" t="str">
            <v xml:space="preserve">, </v>
          </cell>
          <cell r="E37" t="str">
            <v>Syshub Interface</v>
          </cell>
          <cell r="F37" t="str">
            <v>Delta</v>
          </cell>
          <cell r="G37" t="str">
            <v>Yes</v>
          </cell>
          <cell r="H37" t="str">
            <v>Yes</v>
          </cell>
          <cell r="I37">
            <v>1</v>
          </cell>
          <cell r="J37">
            <v>1</v>
          </cell>
          <cell r="K37">
            <v>1</v>
          </cell>
          <cell r="L37">
            <v>1</v>
          </cell>
          <cell r="M37">
            <v>0</v>
          </cell>
          <cell r="N37">
            <v>0</v>
          </cell>
          <cell r="O37">
            <v>0</v>
          </cell>
          <cell r="P37">
            <v>0</v>
          </cell>
          <cell r="Q37">
            <v>0</v>
          </cell>
          <cell r="R37">
            <v>0</v>
          </cell>
          <cell r="S37">
            <v>0</v>
          </cell>
          <cell r="T37">
            <v>0</v>
          </cell>
          <cell r="U37" t="str">
            <v>wk-3</v>
          </cell>
        </row>
        <row r="38">
          <cell r="A38" t="str">
            <v>RMB-ACP-032</v>
          </cell>
          <cell r="B38" t="str">
            <v>Deep sleep check</v>
          </cell>
          <cell r="C38" t="str">
            <v>P2</v>
          </cell>
          <cell r="D38" t="str">
            <v xml:space="preserve">acpaz64, </v>
          </cell>
          <cell r="E38" t="str">
            <v>Syshub Interface</v>
          </cell>
          <cell r="F38" t="str">
            <v>Legacy</v>
          </cell>
          <cell r="G38" t="str">
            <v>Yes</v>
          </cell>
          <cell r="H38" t="str">
            <v>Yes</v>
          </cell>
          <cell r="I38">
            <v>1</v>
          </cell>
          <cell r="J38">
            <v>108</v>
          </cell>
          <cell r="K38">
            <v>1</v>
          </cell>
          <cell r="L38">
            <v>1</v>
          </cell>
          <cell r="M38">
            <v>108</v>
          </cell>
          <cell r="N38">
            <v>108</v>
          </cell>
          <cell r="O38">
            <v>1</v>
          </cell>
          <cell r="P38">
            <v>0</v>
          </cell>
          <cell r="Q38">
            <v>0</v>
          </cell>
          <cell r="R38">
            <v>0</v>
          </cell>
          <cell r="S38">
            <v>0</v>
          </cell>
          <cell r="T38">
            <v>0</v>
          </cell>
          <cell r="U38" t="str">
            <v>wk-3</v>
          </cell>
        </row>
        <row r="39">
          <cell r="A39" t="str">
            <v>RMB-ACP-033</v>
          </cell>
          <cell r="B39" t="str">
            <v>ACP Axi2Axi debug counter check</v>
          </cell>
          <cell r="C39" t="str">
            <v>P2</v>
          </cell>
          <cell r="D39" t="str">
            <v xml:space="preserve">acpaz16.1-3, </v>
          </cell>
          <cell r="E39" t="str">
            <v>Syshub Interface</v>
          </cell>
          <cell r="F39" t="str">
            <v>Legacy</v>
          </cell>
          <cell r="G39" t="str">
            <v>Yes</v>
          </cell>
          <cell r="H39" t="str">
            <v>Yes</v>
          </cell>
          <cell r="I39">
            <v>1</v>
          </cell>
          <cell r="J39">
            <v>3</v>
          </cell>
          <cell r="K39">
            <v>1</v>
          </cell>
          <cell r="L39">
            <v>1</v>
          </cell>
          <cell r="M39">
            <v>3</v>
          </cell>
          <cell r="N39">
            <v>3</v>
          </cell>
          <cell r="O39">
            <v>1</v>
          </cell>
          <cell r="P39">
            <v>0</v>
          </cell>
          <cell r="Q39">
            <v>0</v>
          </cell>
          <cell r="R39">
            <v>0</v>
          </cell>
          <cell r="S39">
            <v>0</v>
          </cell>
          <cell r="T39">
            <v>0</v>
          </cell>
          <cell r="U39" t="str">
            <v>wk-3</v>
          </cell>
        </row>
        <row r="40">
          <cell r="A40" t="str">
            <v>RMB-ACP-034</v>
          </cell>
          <cell r="B40" t="str">
            <v>ACP Axi2Axi performance counter check</v>
          </cell>
          <cell r="C40" t="str">
            <v>P2</v>
          </cell>
          <cell r="D40" t="str">
            <v xml:space="preserve">acpaz15.1-3, </v>
          </cell>
          <cell r="E40" t="str">
            <v>Syshub Interface</v>
          </cell>
          <cell r="F40" t="str">
            <v>Legacy</v>
          </cell>
          <cell r="G40" t="str">
            <v>Yes</v>
          </cell>
          <cell r="H40" t="str">
            <v>Yes</v>
          </cell>
          <cell r="I40">
            <v>1</v>
          </cell>
          <cell r="J40">
            <v>3</v>
          </cell>
          <cell r="K40">
            <v>1</v>
          </cell>
          <cell r="L40">
            <v>1</v>
          </cell>
          <cell r="M40">
            <v>3</v>
          </cell>
          <cell r="N40">
            <v>3</v>
          </cell>
          <cell r="O40">
            <v>1</v>
          </cell>
          <cell r="P40">
            <v>0</v>
          </cell>
          <cell r="Q40">
            <v>0</v>
          </cell>
          <cell r="R40">
            <v>0</v>
          </cell>
          <cell r="S40">
            <v>0</v>
          </cell>
          <cell r="T40">
            <v>0</v>
          </cell>
          <cell r="U40" t="str">
            <v>wk-2</v>
          </cell>
        </row>
        <row r="41">
          <cell r="A41" t="str">
            <v>RMB-ACP-035</v>
          </cell>
          <cell r="B41" t="str">
            <v>1/8/16/32 outstanding transactions</v>
          </cell>
          <cell r="C41" t="str">
            <v>P2</v>
          </cell>
          <cell r="D41" t="str">
            <v xml:space="preserve">acpaz64, </v>
          </cell>
          <cell r="E41" t="str">
            <v>Syshub Interface</v>
          </cell>
          <cell r="F41" t="str">
            <v>Legacy</v>
          </cell>
          <cell r="G41" t="str">
            <v>Yes</v>
          </cell>
          <cell r="H41" t="str">
            <v>Yes</v>
          </cell>
          <cell r="I41">
            <v>1</v>
          </cell>
          <cell r="J41">
            <v>1</v>
          </cell>
          <cell r="K41">
            <v>1</v>
          </cell>
          <cell r="L41">
            <v>1</v>
          </cell>
          <cell r="M41">
            <v>1</v>
          </cell>
          <cell r="N41">
            <v>1</v>
          </cell>
          <cell r="O41">
            <v>1</v>
          </cell>
          <cell r="P41">
            <v>0</v>
          </cell>
          <cell r="Q41">
            <v>0</v>
          </cell>
          <cell r="R41">
            <v>0</v>
          </cell>
          <cell r="S41">
            <v>0</v>
          </cell>
          <cell r="T41">
            <v>0</v>
          </cell>
          <cell r="U41" t="str">
            <v>wk-2</v>
          </cell>
        </row>
        <row r="42">
          <cell r="A42" t="str">
            <v>RMB-ACP-036</v>
          </cell>
          <cell r="B42" t="str">
            <v>Axi2Axi transfer with 2MB page size
Axi2Axi transfer with 64KB page size
Axi2Axi transfer with 4KB page size</v>
          </cell>
          <cell r="C42" t="str">
            <v>P2</v>
          </cell>
          <cell r="D42" t="str">
            <v xml:space="preserve">acpaz8.1-3, acpaz9.1-3, acpaz10.1-3, </v>
          </cell>
          <cell r="E42" t="str">
            <v>System memory address translation</v>
          </cell>
          <cell r="F42" t="str">
            <v>Legacy</v>
          </cell>
          <cell r="G42" t="str">
            <v>Yes</v>
          </cell>
          <cell r="H42" t="str">
            <v>Yes</v>
          </cell>
          <cell r="I42">
            <v>3</v>
          </cell>
          <cell r="J42">
            <v>9</v>
          </cell>
          <cell r="K42">
            <v>1</v>
          </cell>
          <cell r="L42">
            <v>1</v>
          </cell>
          <cell r="M42">
            <v>9</v>
          </cell>
          <cell r="N42">
            <v>9</v>
          </cell>
          <cell r="O42">
            <v>1</v>
          </cell>
          <cell r="P42">
            <v>0</v>
          </cell>
          <cell r="Q42">
            <v>0</v>
          </cell>
          <cell r="R42">
            <v>0</v>
          </cell>
          <cell r="S42">
            <v>0</v>
          </cell>
          <cell r="T42">
            <v>0</v>
          </cell>
          <cell r="U42" t="str">
            <v>wk-2</v>
          </cell>
        </row>
        <row r="43">
          <cell r="A43" t="str">
            <v>RMB-ACP-037</v>
          </cell>
          <cell r="B43" t="str">
            <v>Axi2Axi transfer with 2MB page size
Axi2Axi transfer with 64KB page size
Axi2Axi transfer with 4KB page size</v>
          </cell>
          <cell r="C43" t="str">
            <v>P2</v>
          </cell>
          <cell r="D43" t="str">
            <v xml:space="preserve">, , , </v>
          </cell>
          <cell r="E43" t="str">
            <v>System memory address translation</v>
          </cell>
          <cell r="F43" t="str">
            <v>Delta</v>
          </cell>
          <cell r="G43" t="str">
            <v>Yes</v>
          </cell>
          <cell r="H43" t="str">
            <v>Yes</v>
          </cell>
          <cell r="I43">
            <v>3</v>
          </cell>
          <cell r="J43">
            <v>3</v>
          </cell>
          <cell r="K43">
            <v>1</v>
          </cell>
          <cell r="L43">
            <v>1</v>
          </cell>
          <cell r="M43">
            <v>3</v>
          </cell>
          <cell r="N43">
            <v>0</v>
          </cell>
          <cell r="O43">
            <v>0</v>
          </cell>
          <cell r="P43">
            <v>0</v>
          </cell>
          <cell r="Q43">
            <v>0</v>
          </cell>
          <cell r="R43">
            <v>0</v>
          </cell>
          <cell r="S43">
            <v>0</v>
          </cell>
          <cell r="T43">
            <v>0</v>
          </cell>
          <cell r="U43" t="str">
            <v>wk-2</v>
          </cell>
        </row>
        <row r="44">
          <cell r="A44" t="str">
            <v>RMB-ACP-038</v>
          </cell>
          <cell r="B44" t="str">
            <v>Axi2Axi ATU clear check</v>
          </cell>
          <cell r="C44" t="str">
            <v>P2</v>
          </cell>
          <cell r="D44" t="str">
            <v xml:space="preserve">acpaz14.1-3, </v>
          </cell>
          <cell r="E44" t="str">
            <v>System memory address translation</v>
          </cell>
          <cell r="F44" t="str">
            <v>Delta</v>
          </cell>
          <cell r="G44" t="str">
            <v>Yes</v>
          </cell>
          <cell r="H44" t="str">
            <v>Yes</v>
          </cell>
          <cell r="I44">
            <v>1</v>
          </cell>
          <cell r="J44">
            <v>3</v>
          </cell>
          <cell r="K44">
            <v>1</v>
          </cell>
          <cell r="L44">
            <v>1</v>
          </cell>
          <cell r="M44">
            <v>3</v>
          </cell>
          <cell r="N44">
            <v>3</v>
          </cell>
          <cell r="O44">
            <v>1</v>
          </cell>
          <cell r="P44">
            <v>0</v>
          </cell>
          <cell r="Q44">
            <v>0</v>
          </cell>
          <cell r="R44">
            <v>0</v>
          </cell>
          <cell r="S44">
            <v>0</v>
          </cell>
          <cell r="T44">
            <v>0</v>
          </cell>
          <cell r="U44" t="str">
            <v>wk-2</v>
          </cell>
        </row>
        <row r="45">
          <cell r="A45" t="str">
            <v>RMB-ACP-039</v>
          </cell>
          <cell r="B45" t="str">
            <v>2MB page transfer with alternate page disabled
64KB page transfer with all pages disabled
4KB page transfer with all pages disabled</v>
          </cell>
          <cell r="C45" t="str">
            <v>P2</v>
          </cell>
          <cell r="D45" t="str">
            <v xml:space="preserve">acpaz11, acpaz12, acpaz13, </v>
          </cell>
          <cell r="E45" t="str">
            <v>System memory address translation</v>
          </cell>
          <cell r="F45" t="str">
            <v>Delta</v>
          </cell>
          <cell r="G45" t="str">
            <v>Yes</v>
          </cell>
          <cell r="H45" t="str">
            <v>Yes</v>
          </cell>
          <cell r="I45">
            <v>3</v>
          </cell>
          <cell r="J45">
            <v>3</v>
          </cell>
          <cell r="K45">
            <v>1</v>
          </cell>
          <cell r="L45">
            <v>1</v>
          </cell>
          <cell r="M45">
            <v>3</v>
          </cell>
          <cell r="N45">
            <v>1</v>
          </cell>
          <cell r="O45">
            <v>0.33333333333333331</v>
          </cell>
          <cell r="P45">
            <v>0</v>
          </cell>
          <cell r="Q45">
            <v>0</v>
          </cell>
          <cell r="R45">
            <v>0</v>
          </cell>
          <cell r="S45">
            <v>0</v>
          </cell>
          <cell r="T45">
            <v>0</v>
          </cell>
          <cell r="U45" t="str">
            <v>wk-2</v>
          </cell>
        </row>
        <row r="46">
          <cell r="A46" t="str">
            <v>RMB-ACP-040</v>
          </cell>
          <cell r="B46" t="str">
            <v>ACP DSP HiFi3z instruction set execute</v>
          </cell>
          <cell r="C46" t="str">
            <v>P2</v>
          </cell>
          <cell r="D46" t="str">
            <v xml:space="preserve">acpaz99, </v>
          </cell>
          <cell r="E46" t="str">
            <v>Xtensa processing for audio</v>
          </cell>
          <cell r="F46" t="str">
            <v>Delta</v>
          </cell>
          <cell r="G46" t="str">
            <v>Yes</v>
          </cell>
          <cell r="H46" t="str">
            <v>Yes</v>
          </cell>
          <cell r="I46">
            <v>1</v>
          </cell>
          <cell r="J46">
            <v>2</v>
          </cell>
          <cell r="K46">
            <v>1</v>
          </cell>
          <cell r="L46">
            <v>1</v>
          </cell>
          <cell r="M46">
            <v>2</v>
          </cell>
          <cell r="N46">
            <v>0</v>
          </cell>
          <cell r="O46">
            <v>0</v>
          </cell>
          <cell r="P46">
            <v>0</v>
          </cell>
          <cell r="Q46">
            <v>0</v>
          </cell>
          <cell r="R46">
            <v>0</v>
          </cell>
          <cell r="S46">
            <v>0</v>
          </cell>
          <cell r="T46">
            <v>0</v>
          </cell>
          <cell r="U46" t="str">
            <v>wk-2</v>
          </cell>
        </row>
        <row r="47">
          <cell r="A47" t="str">
            <v>RMB-ACP-041</v>
          </cell>
          <cell r="B47" t="str">
            <v>ACP DSP HiFi3z instruction set execute</v>
          </cell>
          <cell r="C47" t="str">
            <v>P2</v>
          </cell>
          <cell r="D47" t="str">
            <v xml:space="preserve">acpaz99, </v>
          </cell>
          <cell r="E47" t="str">
            <v>Xtensa processing for audio</v>
          </cell>
          <cell r="F47" t="str">
            <v>Delta</v>
          </cell>
          <cell r="G47" t="str">
            <v>Yes</v>
          </cell>
          <cell r="H47" t="str">
            <v>Yes</v>
          </cell>
          <cell r="I47">
            <v>1</v>
          </cell>
          <cell r="J47">
            <v>2</v>
          </cell>
          <cell r="K47">
            <v>1</v>
          </cell>
          <cell r="L47">
            <v>1</v>
          </cell>
          <cell r="M47">
            <v>2</v>
          </cell>
          <cell r="N47">
            <v>0</v>
          </cell>
          <cell r="O47">
            <v>0</v>
          </cell>
          <cell r="P47">
            <v>0</v>
          </cell>
          <cell r="Q47">
            <v>0</v>
          </cell>
          <cell r="R47">
            <v>0</v>
          </cell>
          <cell r="S47">
            <v>0</v>
          </cell>
          <cell r="T47">
            <v>0</v>
          </cell>
          <cell r="U47" t="str">
            <v>wk-2</v>
          </cell>
        </row>
        <row r="48">
          <cell r="A48" t="str">
            <v>RMB-ACP-042</v>
          </cell>
          <cell r="B48" t="str">
            <v xml:space="preserve">Firmware writes to all address space </v>
          </cell>
          <cell r="C48" t="str">
            <v>P2</v>
          </cell>
          <cell r="D48" t="str">
            <v xml:space="preserve">acpaz20.1-7, </v>
          </cell>
          <cell r="E48" t="str">
            <v>Xtensa processing for audio</v>
          </cell>
          <cell r="F48" t="str">
            <v>Delta</v>
          </cell>
          <cell r="G48" t="str">
            <v>Yes</v>
          </cell>
          <cell r="H48" t="str">
            <v>Yes</v>
          </cell>
          <cell r="I48">
            <v>1</v>
          </cell>
          <cell r="J48">
            <v>2</v>
          </cell>
          <cell r="K48">
            <v>1</v>
          </cell>
          <cell r="L48">
            <v>1</v>
          </cell>
          <cell r="M48">
            <v>2</v>
          </cell>
          <cell r="N48">
            <v>2</v>
          </cell>
          <cell r="O48">
            <v>1</v>
          </cell>
          <cell r="P48">
            <v>0</v>
          </cell>
          <cell r="Q48">
            <v>0</v>
          </cell>
          <cell r="R48">
            <v>0</v>
          </cell>
          <cell r="S48">
            <v>0</v>
          </cell>
          <cell r="T48">
            <v>0</v>
          </cell>
          <cell r="U48" t="str">
            <v>wk-2</v>
          </cell>
        </row>
        <row r="49">
          <cell r="A49" t="str">
            <v>RMB-ACP-043</v>
          </cell>
          <cell r="B49" t="str">
            <v>Firmware writes to dram/sram/syshub  parallel to IRAM</v>
          </cell>
          <cell r="C49" t="str">
            <v>P2</v>
          </cell>
          <cell r="D49" t="str">
            <v xml:space="preserve">acpaz21.1-7, </v>
          </cell>
          <cell r="E49" t="str">
            <v>Xtensa processing for audio</v>
          </cell>
          <cell r="F49" t="str">
            <v>Legacy</v>
          </cell>
          <cell r="G49" t="str">
            <v>Yes</v>
          </cell>
          <cell r="H49" t="str">
            <v>Yes</v>
          </cell>
          <cell r="I49">
            <v>1</v>
          </cell>
          <cell r="J49">
            <v>14</v>
          </cell>
          <cell r="K49">
            <v>1</v>
          </cell>
          <cell r="L49">
            <v>1</v>
          </cell>
          <cell r="M49">
            <v>14</v>
          </cell>
          <cell r="N49">
            <v>14</v>
          </cell>
          <cell r="O49">
            <v>1</v>
          </cell>
          <cell r="P49">
            <v>0</v>
          </cell>
          <cell r="Q49">
            <v>0</v>
          </cell>
          <cell r="R49">
            <v>0</v>
          </cell>
          <cell r="S49">
            <v>0</v>
          </cell>
          <cell r="T49">
            <v>0</v>
          </cell>
          <cell r="U49" t="str">
            <v>wk-2</v>
          </cell>
        </row>
        <row r="50">
          <cell r="A50" t="str">
            <v>RMB-ACP-044</v>
          </cell>
          <cell r="B50" t="str">
            <v>Different Syshub address access via Firmware</v>
          </cell>
          <cell r="C50" t="str">
            <v>P2</v>
          </cell>
          <cell r="D50" t="str">
            <v xml:space="preserve">acpaz21.1-7, </v>
          </cell>
          <cell r="E50" t="str">
            <v>Xtensa processing for audio</v>
          </cell>
          <cell r="F50" t="str">
            <v>Legacy</v>
          </cell>
          <cell r="G50" t="str">
            <v>Yes</v>
          </cell>
          <cell r="H50" t="str">
            <v>Yes</v>
          </cell>
          <cell r="I50">
            <v>1</v>
          </cell>
          <cell r="J50">
            <v>14</v>
          </cell>
          <cell r="K50">
            <v>1</v>
          </cell>
          <cell r="L50">
            <v>1</v>
          </cell>
          <cell r="M50">
            <v>14</v>
          </cell>
          <cell r="N50">
            <v>14</v>
          </cell>
          <cell r="O50">
            <v>1</v>
          </cell>
          <cell r="P50">
            <v>0</v>
          </cell>
          <cell r="Q50">
            <v>0</v>
          </cell>
          <cell r="R50">
            <v>0</v>
          </cell>
          <cell r="S50">
            <v>0</v>
          </cell>
          <cell r="T50">
            <v>0</v>
          </cell>
          <cell r="U50" t="str">
            <v>wk-2</v>
          </cell>
        </row>
        <row r="51">
          <cell r="A51" t="str">
            <v>RMB-ACP-045</v>
          </cell>
          <cell r="B51" t="str">
            <v>DSP IRAM access test</v>
          </cell>
          <cell r="C51" t="str">
            <v>P2</v>
          </cell>
          <cell r="D51" t="str">
            <v xml:space="preserve">acpaz18.1-3, </v>
          </cell>
          <cell r="E51" t="str">
            <v>Xtensa processing for audio</v>
          </cell>
          <cell r="F51" t="str">
            <v>Legacy</v>
          </cell>
          <cell r="G51" t="str">
            <v>Yes</v>
          </cell>
          <cell r="H51" t="str">
            <v>Yes</v>
          </cell>
          <cell r="I51">
            <v>1</v>
          </cell>
          <cell r="J51">
            <v>6</v>
          </cell>
          <cell r="K51">
            <v>1</v>
          </cell>
          <cell r="L51">
            <v>1</v>
          </cell>
          <cell r="M51">
            <v>6</v>
          </cell>
          <cell r="N51">
            <v>6</v>
          </cell>
          <cell r="O51">
            <v>1</v>
          </cell>
          <cell r="P51">
            <v>0</v>
          </cell>
          <cell r="Q51">
            <v>0</v>
          </cell>
          <cell r="R51">
            <v>0</v>
          </cell>
          <cell r="S51">
            <v>0</v>
          </cell>
          <cell r="T51">
            <v>0</v>
          </cell>
          <cell r="U51" t="str">
            <v>wk-2</v>
          </cell>
        </row>
        <row r="52">
          <cell r="A52" t="str">
            <v>RMB-ACP-046</v>
          </cell>
          <cell r="B52" t="str">
            <v>DSP DRAM access test</v>
          </cell>
          <cell r="C52" t="str">
            <v>P2</v>
          </cell>
          <cell r="D52" t="str">
            <v xml:space="preserve">acpaz19.1-3, </v>
          </cell>
          <cell r="E52" t="str">
            <v>Xtensa processing for audio</v>
          </cell>
          <cell r="F52" t="str">
            <v>Legacy</v>
          </cell>
          <cell r="G52" t="str">
            <v>Yes</v>
          </cell>
          <cell r="H52" t="str">
            <v>Yes</v>
          </cell>
          <cell r="I52">
            <v>1</v>
          </cell>
          <cell r="J52">
            <v>6</v>
          </cell>
          <cell r="K52">
            <v>1</v>
          </cell>
          <cell r="L52">
            <v>1</v>
          </cell>
          <cell r="M52">
            <v>6</v>
          </cell>
          <cell r="N52">
            <v>6</v>
          </cell>
          <cell r="O52">
            <v>1</v>
          </cell>
          <cell r="P52">
            <v>0</v>
          </cell>
          <cell r="Q52">
            <v>0</v>
          </cell>
          <cell r="R52">
            <v>0</v>
          </cell>
          <cell r="S52">
            <v>0</v>
          </cell>
          <cell r="T52">
            <v>0</v>
          </cell>
          <cell r="U52" t="str">
            <v>wk-2</v>
          </cell>
        </row>
        <row r="53">
          <cell r="A53" t="str">
            <v>RMB-ACP-047</v>
          </cell>
          <cell r="B53" t="str">
            <v>ACP DSP HiFi3z instruction set execute</v>
          </cell>
          <cell r="C53" t="str">
            <v>P2</v>
          </cell>
          <cell r="D53" t="str">
            <v xml:space="preserve">acpaz99, acpaz101, </v>
          </cell>
          <cell r="E53" t="str">
            <v>Xtensa processing for audio</v>
          </cell>
          <cell r="F53" t="str">
            <v>Legacy</v>
          </cell>
          <cell r="G53" t="str">
            <v>Yes</v>
          </cell>
          <cell r="H53" t="str">
            <v>Yes</v>
          </cell>
          <cell r="I53">
            <v>2</v>
          </cell>
          <cell r="J53">
            <v>22</v>
          </cell>
          <cell r="K53">
            <v>1</v>
          </cell>
          <cell r="L53">
            <v>1</v>
          </cell>
          <cell r="M53">
            <v>22</v>
          </cell>
          <cell r="N53">
            <v>0</v>
          </cell>
          <cell r="O53">
            <v>0</v>
          </cell>
          <cell r="P53">
            <v>0</v>
          </cell>
          <cell r="Q53">
            <v>0</v>
          </cell>
          <cell r="R53">
            <v>0</v>
          </cell>
          <cell r="S53">
            <v>0</v>
          </cell>
          <cell r="T53">
            <v>0</v>
          </cell>
          <cell r="U53" t="str">
            <v>wk-2</v>
          </cell>
        </row>
        <row r="54">
          <cell r="A54" t="str">
            <v>RMB-ACP-048</v>
          </cell>
          <cell r="B54" t="str">
            <v>Manual</v>
          </cell>
          <cell r="C54" t="str">
            <v>P2</v>
          </cell>
          <cell r="D54" t="str">
            <v xml:space="preserve">Manual, </v>
          </cell>
          <cell r="E54" t="str">
            <v>Xtensa processing for audio</v>
          </cell>
          <cell r="F54" t="str">
            <v>Legacy</v>
          </cell>
          <cell r="G54" t="str">
            <v>Yes</v>
          </cell>
          <cell r="H54" t="str">
            <v>Yes</v>
          </cell>
          <cell r="I54">
            <v>1</v>
          </cell>
          <cell r="J54">
            <v>1</v>
          </cell>
          <cell r="K54">
            <v>1</v>
          </cell>
          <cell r="L54">
            <v>1</v>
          </cell>
          <cell r="M54">
            <v>1</v>
          </cell>
          <cell r="N54">
            <v>0</v>
          </cell>
          <cell r="O54">
            <v>0</v>
          </cell>
          <cell r="P54">
            <v>0</v>
          </cell>
          <cell r="Q54">
            <v>0</v>
          </cell>
          <cell r="R54">
            <v>0</v>
          </cell>
          <cell r="S54">
            <v>0</v>
          </cell>
          <cell r="T54">
            <v>0</v>
          </cell>
          <cell r="U54" t="str">
            <v>wk-2</v>
          </cell>
        </row>
        <row r="55">
          <cell r="A55" t="str">
            <v>RMB-ACP-049</v>
          </cell>
          <cell r="B55" t="str">
            <v>DSP SHA config interrupt check</v>
          </cell>
          <cell r="C55" t="str">
            <v>P2</v>
          </cell>
          <cell r="D55" t="str">
            <v xml:space="preserve">, </v>
          </cell>
          <cell r="E55" t="str">
            <v>Xtensa processing for audio</v>
          </cell>
          <cell r="F55" t="str">
            <v>Legacy</v>
          </cell>
          <cell r="G55" t="str">
            <v>Yes</v>
          </cell>
          <cell r="H55" t="str">
            <v>Yes</v>
          </cell>
          <cell r="I55">
            <v>1</v>
          </cell>
          <cell r="J55">
            <v>1</v>
          </cell>
          <cell r="K55">
            <v>1</v>
          </cell>
          <cell r="L55">
            <v>1</v>
          </cell>
          <cell r="M55">
            <v>0</v>
          </cell>
          <cell r="N55">
            <v>0</v>
          </cell>
          <cell r="O55">
            <v>0</v>
          </cell>
          <cell r="P55">
            <v>0</v>
          </cell>
          <cell r="Q55">
            <v>0</v>
          </cell>
          <cell r="R55">
            <v>0</v>
          </cell>
          <cell r="S55">
            <v>0</v>
          </cell>
          <cell r="T55">
            <v>0</v>
          </cell>
          <cell r="U55" t="str">
            <v>N/A</v>
          </cell>
        </row>
        <row r="56">
          <cell r="A56" t="str">
            <v>RMB-ACP-050</v>
          </cell>
          <cell r="B56" t="str">
            <v>DSP error access to different address space regions, data errors</v>
          </cell>
          <cell r="C56" t="str">
            <v>P2</v>
          </cell>
          <cell r="D56" t="str">
            <v xml:space="preserve">acpaz24.1-6, </v>
          </cell>
          <cell r="E56" t="str">
            <v>Xtensa processing for audio</v>
          </cell>
          <cell r="F56" t="str">
            <v>Legacy</v>
          </cell>
          <cell r="G56" t="str">
            <v>Yes</v>
          </cell>
          <cell r="H56" t="str">
            <v>Yes</v>
          </cell>
          <cell r="I56">
            <v>1</v>
          </cell>
          <cell r="J56">
            <v>12</v>
          </cell>
          <cell r="K56">
            <v>1</v>
          </cell>
          <cell r="L56">
            <v>1</v>
          </cell>
          <cell r="M56">
            <v>12</v>
          </cell>
          <cell r="N56">
            <v>12</v>
          </cell>
          <cell r="O56">
            <v>1</v>
          </cell>
          <cell r="P56">
            <v>0</v>
          </cell>
          <cell r="Q56">
            <v>0</v>
          </cell>
          <cell r="R56">
            <v>0</v>
          </cell>
          <cell r="S56">
            <v>0</v>
          </cell>
          <cell r="T56">
            <v>0</v>
          </cell>
          <cell r="U56" t="str">
            <v>wk-2</v>
          </cell>
        </row>
        <row r="57">
          <cell r="A57" t="str">
            <v>RMB-ACP-051</v>
          </cell>
          <cell r="B57" t="str">
            <v>DSP exception handler check</v>
          </cell>
          <cell r="C57" t="str">
            <v>P2</v>
          </cell>
          <cell r="D57" t="str">
            <v xml:space="preserve">acpaz24.1-6, </v>
          </cell>
          <cell r="E57" t="str">
            <v>Xtensa processing for audio</v>
          </cell>
          <cell r="F57" t="str">
            <v>Legacy</v>
          </cell>
          <cell r="G57" t="str">
            <v>Yes</v>
          </cell>
          <cell r="H57" t="str">
            <v>Yes</v>
          </cell>
          <cell r="I57">
            <v>1</v>
          </cell>
          <cell r="J57">
            <v>12</v>
          </cell>
          <cell r="K57">
            <v>1</v>
          </cell>
          <cell r="L57">
            <v>1</v>
          </cell>
          <cell r="M57">
            <v>12</v>
          </cell>
          <cell r="N57">
            <v>12</v>
          </cell>
          <cell r="O57">
            <v>1</v>
          </cell>
          <cell r="P57">
            <v>0</v>
          </cell>
          <cell r="Q57">
            <v>0</v>
          </cell>
          <cell r="R57">
            <v>0</v>
          </cell>
          <cell r="S57">
            <v>0</v>
          </cell>
          <cell r="T57">
            <v>0</v>
          </cell>
          <cell r="U57" t="str">
            <v>wk-2</v>
          </cell>
        </row>
        <row r="58">
          <cell r="A58" t="str">
            <v>RMB-ACP-052</v>
          </cell>
          <cell r="B58" t="str">
            <v>&lt;Covered in all DSP tests&gt;</v>
          </cell>
          <cell r="C58" t="str">
            <v>P2</v>
          </cell>
          <cell r="D58" t="str">
            <v xml:space="preserve">N/A, </v>
          </cell>
          <cell r="E58" t="str">
            <v>Xtensa processing for audio</v>
          </cell>
          <cell r="F58" t="str">
            <v>Delta</v>
          </cell>
          <cell r="G58" t="str">
            <v>Yes</v>
          </cell>
          <cell r="H58" t="str">
            <v>Yes</v>
          </cell>
          <cell r="I58">
            <v>1</v>
          </cell>
          <cell r="J58">
            <v>1</v>
          </cell>
          <cell r="K58">
            <v>1</v>
          </cell>
          <cell r="L58">
            <v>1</v>
          </cell>
          <cell r="M58">
            <v>0</v>
          </cell>
          <cell r="N58">
            <v>0</v>
          </cell>
          <cell r="O58">
            <v>0</v>
          </cell>
          <cell r="P58">
            <v>0</v>
          </cell>
          <cell r="Q58">
            <v>0</v>
          </cell>
          <cell r="R58">
            <v>0</v>
          </cell>
          <cell r="S58">
            <v>0</v>
          </cell>
          <cell r="T58">
            <v>0</v>
          </cell>
          <cell r="U58" t="str">
            <v>wk-2</v>
          </cell>
        </row>
        <row r="59">
          <cell r="A59" t="str">
            <v>RMB-ACP-053</v>
          </cell>
          <cell r="B59" t="str">
            <v>PGMEM Shutting down IRAM/DRAM memory bankwise</v>
          </cell>
          <cell r="C59" t="str">
            <v>P2</v>
          </cell>
          <cell r="D59" t="str">
            <v xml:space="preserve">acpaz293.1-8, </v>
          </cell>
          <cell r="E59" t="str">
            <v>Xtensa processing for audio</v>
          </cell>
          <cell r="F59" t="str">
            <v>Legacy</v>
          </cell>
          <cell r="G59" t="str">
            <v>Yes</v>
          </cell>
          <cell r="H59" t="str">
            <v>Yes</v>
          </cell>
          <cell r="I59">
            <v>1</v>
          </cell>
          <cell r="J59">
            <v>8</v>
          </cell>
          <cell r="K59">
            <v>1</v>
          </cell>
          <cell r="L59">
            <v>1</v>
          </cell>
          <cell r="M59">
            <v>8</v>
          </cell>
          <cell r="N59">
            <v>0</v>
          </cell>
          <cell r="O59">
            <v>0</v>
          </cell>
          <cell r="P59">
            <v>0</v>
          </cell>
          <cell r="Q59">
            <v>0</v>
          </cell>
          <cell r="R59">
            <v>0</v>
          </cell>
          <cell r="S59">
            <v>0</v>
          </cell>
          <cell r="T59">
            <v>0</v>
          </cell>
          <cell r="U59" t="str">
            <v>wk-4</v>
          </cell>
        </row>
        <row r="60">
          <cell r="A60" t="str">
            <v>RMB-ACP-054</v>
          </cell>
          <cell r="B60" t="str">
            <v>Verify all IRAM/DRAM combination</v>
          </cell>
          <cell r="C60" t="str">
            <v>P2</v>
          </cell>
          <cell r="D60" t="str">
            <v xml:space="preserve">acpaz27.1, </v>
          </cell>
          <cell r="E60" t="str">
            <v>IRAM/DRAM Mux combination</v>
          </cell>
          <cell r="F60" t="str">
            <v>Legacy</v>
          </cell>
          <cell r="G60" t="str">
            <v>Yes</v>
          </cell>
          <cell r="H60" t="str">
            <v>Yes</v>
          </cell>
          <cell r="I60">
            <v>1</v>
          </cell>
          <cell r="J60">
            <v>2</v>
          </cell>
          <cell r="K60">
            <v>1</v>
          </cell>
          <cell r="L60">
            <v>1</v>
          </cell>
          <cell r="M60">
            <v>2</v>
          </cell>
          <cell r="N60">
            <v>2</v>
          </cell>
          <cell r="O60">
            <v>1</v>
          </cell>
          <cell r="P60">
            <v>0</v>
          </cell>
          <cell r="Q60">
            <v>0</v>
          </cell>
          <cell r="R60">
            <v>0</v>
          </cell>
          <cell r="S60">
            <v>0</v>
          </cell>
          <cell r="T60">
            <v>0</v>
          </cell>
          <cell r="U60" t="str">
            <v>wk-4</v>
          </cell>
        </row>
        <row r="61">
          <cell r="A61" t="str">
            <v>RMB-ACP-055</v>
          </cell>
          <cell r="B61" t="str">
            <v>SHA secure hash access check</v>
          </cell>
          <cell r="C61" t="str">
            <v>P2</v>
          </cell>
          <cell r="D61" t="str">
            <v xml:space="preserve">N/A, </v>
          </cell>
          <cell r="E61" t="str">
            <v>SHA</v>
          </cell>
          <cell r="F61" t="str">
            <v>Legacy</v>
          </cell>
          <cell r="G61" t="str">
            <v>Yes</v>
          </cell>
          <cell r="H61" t="str">
            <v>Yes</v>
          </cell>
          <cell r="I61">
            <v>1</v>
          </cell>
          <cell r="J61">
            <v>1</v>
          </cell>
          <cell r="K61">
            <v>1</v>
          </cell>
          <cell r="L61">
            <v>1</v>
          </cell>
          <cell r="M61">
            <v>0</v>
          </cell>
          <cell r="N61">
            <v>0</v>
          </cell>
          <cell r="O61">
            <v>0</v>
          </cell>
          <cell r="P61">
            <v>0</v>
          </cell>
          <cell r="Q61">
            <v>0</v>
          </cell>
          <cell r="R61">
            <v>0</v>
          </cell>
          <cell r="S61">
            <v>0</v>
          </cell>
          <cell r="T61">
            <v>0</v>
          </cell>
          <cell r="U61" t="str">
            <v>wk-2</v>
          </cell>
        </row>
        <row r="62">
          <cell r="A62" t="str">
            <v>RMB-ACP-056</v>
          </cell>
          <cell r="B62" t="str">
            <v>PSP interrupt after transfer for hash validation</v>
          </cell>
          <cell r="C62" t="str">
            <v>P2</v>
          </cell>
          <cell r="D62" t="str">
            <v xml:space="preserve">N/A, </v>
          </cell>
          <cell r="E62" t="str">
            <v>SHA</v>
          </cell>
          <cell r="F62" t="str">
            <v>Legacy</v>
          </cell>
          <cell r="G62" t="str">
            <v>Yes</v>
          </cell>
          <cell r="H62" t="str">
            <v>Yes</v>
          </cell>
          <cell r="I62">
            <v>1</v>
          </cell>
          <cell r="J62">
            <v>1</v>
          </cell>
          <cell r="K62">
            <v>1</v>
          </cell>
          <cell r="L62">
            <v>1</v>
          </cell>
          <cell r="M62">
            <v>0</v>
          </cell>
          <cell r="N62">
            <v>0</v>
          </cell>
          <cell r="O62">
            <v>0</v>
          </cell>
          <cell r="P62">
            <v>0</v>
          </cell>
          <cell r="Q62">
            <v>0</v>
          </cell>
          <cell r="R62">
            <v>0</v>
          </cell>
          <cell r="S62">
            <v>0</v>
          </cell>
          <cell r="T62">
            <v>0</v>
          </cell>
          <cell r="U62" t="str">
            <v>wk-2</v>
          </cell>
        </row>
        <row r="63">
          <cell r="A63" t="str">
            <v>RMB-ACP-057</v>
          </cell>
          <cell r="B63" t="str">
            <v>SHA DMA test using DSP firmware</v>
          </cell>
          <cell r="C63" t="str">
            <v>P2</v>
          </cell>
          <cell r="D63" t="str">
            <v xml:space="preserve">N/A, </v>
          </cell>
          <cell r="E63" t="str">
            <v>SHA</v>
          </cell>
          <cell r="F63" t="str">
            <v>Delta</v>
          </cell>
          <cell r="G63" t="str">
            <v>Yes</v>
          </cell>
          <cell r="H63" t="str">
            <v>Yes</v>
          </cell>
          <cell r="I63">
            <v>1</v>
          </cell>
          <cell r="J63">
            <v>1</v>
          </cell>
          <cell r="K63">
            <v>1</v>
          </cell>
          <cell r="L63">
            <v>1</v>
          </cell>
          <cell r="M63">
            <v>0</v>
          </cell>
          <cell r="N63">
            <v>0</v>
          </cell>
          <cell r="O63">
            <v>0</v>
          </cell>
          <cell r="P63">
            <v>0</v>
          </cell>
          <cell r="Q63">
            <v>0</v>
          </cell>
          <cell r="R63">
            <v>0</v>
          </cell>
          <cell r="S63">
            <v>0</v>
          </cell>
          <cell r="T63">
            <v>0</v>
          </cell>
          <cell r="U63" t="str">
            <v>wk-2</v>
          </cell>
        </row>
        <row r="64">
          <cell r="A64" t="str">
            <v>RMB-ACP-058</v>
          </cell>
          <cell r="B64" t="str">
            <v>Header enable feature need to check</v>
          </cell>
          <cell r="C64" t="str">
            <v>P2</v>
          </cell>
          <cell r="D64" t="str">
            <v xml:space="preserve">acpaz40.1-3, </v>
          </cell>
          <cell r="E64" t="str">
            <v>SHA</v>
          </cell>
          <cell r="F64" t="str">
            <v>Legacy</v>
          </cell>
          <cell r="G64" t="str">
            <v>Yes</v>
          </cell>
          <cell r="H64" t="str">
            <v>Yes</v>
          </cell>
          <cell r="I64">
            <v>1</v>
          </cell>
          <cell r="J64">
            <v>6</v>
          </cell>
          <cell r="K64">
            <v>1</v>
          </cell>
          <cell r="L64">
            <v>1</v>
          </cell>
          <cell r="M64">
            <v>6</v>
          </cell>
          <cell r="N64">
            <v>6</v>
          </cell>
          <cell r="O64">
            <v>1</v>
          </cell>
          <cell r="P64">
            <v>0</v>
          </cell>
          <cell r="Q64">
            <v>0</v>
          </cell>
          <cell r="R64">
            <v>0</v>
          </cell>
          <cell r="S64">
            <v>0</v>
          </cell>
          <cell r="T64">
            <v>0</v>
          </cell>
          <cell r="U64" t="str">
            <v>N/A</v>
          </cell>
        </row>
        <row r="65">
          <cell r="A65" t="str">
            <v>RMB-ACP-059</v>
          </cell>
          <cell r="B65" t="str">
            <v>SHA DMA Syshub range violation error
SHA DMA IRAM address violation error
SHA DMA IRAM/DRAM address violationfor data length
SHA DMA out of fence configuration error</v>
          </cell>
          <cell r="C65" t="str">
            <v>P2</v>
          </cell>
          <cell r="D65" t="str">
            <v xml:space="preserve">acpaz29.8, acpaz29.9, acpaz29.3, acpaz29.10, </v>
          </cell>
          <cell r="E65" t="str">
            <v>SHA Error Test</v>
          </cell>
          <cell r="F65" t="str">
            <v>Delta</v>
          </cell>
          <cell r="G65" t="str">
            <v>Yes</v>
          </cell>
          <cell r="H65" t="str">
            <v>Yes</v>
          </cell>
          <cell r="I65">
            <v>4</v>
          </cell>
          <cell r="J65">
            <v>8</v>
          </cell>
          <cell r="K65">
            <v>1</v>
          </cell>
          <cell r="L65">
            <v>1</v>
          </cell>
          <cell r="M65">
            <v>8</v>
          </cell>
          <cell r="N65">
            <v>8</v>
          </cell>
          <cell r="O65">
            <v>1</v>
          </cell>
          <cell r="P65">
            <v>0</v>
          </cell>
          <cell r="Q65">
            <v>0</v>
          </cell>
          <cell r="R65">
            <v>0</v>
          </cell>
          <cell r="S65">
            <v>0</v>
          </cell>
          <cell r="T65">
            <v>0</v>
          </cell>
          <cell r="U65" t="str">
            <v>wk-3</v>
          </cell>
        </row>
        <row r="66">
          <cell r="A66" t="str">
            <v>RMB-ACP-060</v>
          </cell>
          <cell r="B66" t="str">
            <v>TX and RX via I2S-TDM channel</v>
          </cell>
          <cell r="C66" t="str">
            <v>P2</v>
          </cell>
          <cell r="D66" t="str">
            <v xml:space="preserve">acpaz255.1, </v>
          </cell>
          <cell r="E66" t="str">
            <v>I2S Test</v>
          </cell>
          <cell r="F66" t="str">
            <v>Delta</v>
          </cell>
          <cell r="G66" t="str">
            <v>Yes</v>
          </cell>
          <cell r="H66" t="str">
            <v>Yes</v>
          </cell>
          <cell r="I66">
            <v>1</v>
          </cell>
          <cell r="J66">
            <v>60</v>
          </cell>
          <cell r="K66">
            <v>1</v>
          </cell>
          <cell r="L66">
            <v>1</v>
          </cell>
          <cell r="M66">
            <v>0</v>
          </cell>
          <cell r="N66">
            <v>0</v>
          </cell>
          <cell r="O66">
            <v>0</v>
          </cell>
          <cell r="P66">
            <v>0</v>
          </cell>
          <cell r="Q66">
            <v>0</v>
          </cell>
          <cell r="R66">
            <v>0</v>
          </cell>
          <cell r="S66">
            <v>0</v>
          </cell>
          <cell r="T66">
            <v>0</v>
          </cell>
          <cell r="U66" t="str">
            <v>wk-2</v>
          </cell>
        </row>
        <row r="67">
          <cell r="A67" t="str">
            <v>RMB-ACP-061</v>
          </cell>
          <cell r="B67" t="str">
            <v>Support driving an external clock source for I2S</v>
          </cell>
          <cell r="C67" t="str">
            <v>P2</v>
          </cell>
          <cell r="D67" t="str">
            <v xml:space="preserve">acpaz255.2/256.2/259/2, </v>
          </cell>
          <cell r="E67" t="str">
            <v>I2S Test</v>
          </cell>
          <cell r="F67" t="str">
            <v>Delta</v>
          </cell>
          <cell r="G67" t="str">
            <v>Yes</v>
          </cell>
          <cell r="H67" t="str">
            <v>Yes</v>
          </cell>
          <cell r="I67">
            <v>1</v>
          </cell>
          <cell r="J67">
            <v>60</v>
          </cell>
          <cell r="K67">
            <v>1</v>
          </cell>
          <cell r="L67">
            <v>1</v>
          </cell>
          <cell r="M67">
            <v>0</v>
          </cell>
          <cell r="N67">
            <v>0</v>
          </cell>
          <cell r="O67">
            <v>0</v>
          </cell>
          <cell r="P67">
            <v>0</v>
          </cell>
          <cell r="Q67">
            <v>0</v>
          </cell>
          <cell r="R67">
            <v>0</v>
          </cell>
          <cell r="S67">
            <v>0</v>
          </cell>
          <cell r="T67">
            <v>0</v>
          </cell>
          <cell r="U67" t="str">
            <v>wk-4</v>
          </cell>
        </row>
        <row r="68">
          <cell r="A68" t="str">
            <v>RMB-ACP-062</v>
          </cell>
          <cell r="B68" t="str">
            <v>TX and RX via I2S-TDM BT channel</v>
          </cell>
          <cell r="C68" t="str">
            <v>P2</v>
          </cell>
          <cell r="D68" t="str">
            <v xml:space="preserve">acpaz256.1, </v>
          </cell>
          <cell r="E68" t="str">
            <v>I2S Test</v>
          </cell>
          <cell r="F68" t="str">
            <v>Delta</v>
          </cell>
          <cell r="G68" t="str">
            <v>Yes</v>
          </cell>
          <cell r="H68" t="str">
            <v>Yes</v>
          </cell>
          <cell r="I68">
            <v>1</v>
          </cell>
          <cell r="J68">
            <v>1</v>
          </cell>
          <cell r="K68">
            <v>1</v>
          </cell>
          <cell r="L68">
            <v>1</v>
          </cell>
          <cell r="M68">
            <v>0</v>
          </cell>
          <cell r="N68">
            <v>0</v>
          </cell>
          <cell r="O68">
            <v>0</v>
          </cell>
          <cell r="P68">
            <v>0</v>
          </cell>
          <cell r="Q68">
            <v>0</v>
          </cell>
          <cell r="R68">
            <v>0</v>
          </cell>
          <cell r="S68">
            <v>0</v>
          </cell>
          <cell r="T68">
            <v>0</v>
          </cell>
          <cell r="U68" t="str">
            <v>N/A</v>
          </cell>
        </row>
        <row r="69">
          <cell r="A69" t="str">
            <v>RMB-ACP-063</v>
          </cell>
          <cell r="B69" t="str">
            <v>TX and RX via I2S-TDM channel</v>
          </cell>
          <cell r="C69" t="str">
            <v>P2</v>
          </cell>
          <cell r="D69" t="str">
            <v xml:space="preserve">acpaz55.1, </v>
          </cell>
          <cell r="E69" t="str">
            <v>I2S Test</v>
          </cell>
          <cell r="F69" t="str">
            <v>Delta</v>
          </cell>
          <cell r="G69" t="str">
            <v>Yes</v>
          </cell>
          <cell r="H69" t="str">
            <v>Yes</v>
          </cell>
          <cell r="I69">
            <v>1</v>
          </cell>
          <cell r="J69">
            <v>1</v>
          </cell>
          <cell r="K69">
            <v>1</v>
          </cell>
          <cell r="L69">
            <v>1</v>
          </cell>
          <cell r="M69">
            <v>0</v>
          </cell>
          <cell r="N69">
            <v>0</v>
          </cell>
          <cell r="O69">
            <v>0</v>
          </cell>
          <cell r="P69">
            <v>0</v>
          </cell>
          <cell r="Q69">
            <v>0</v>
          </cell>
          <cell r="R69">
            <v>0</v>
          </cell>
          <cell r="S69">
            <v>0</v>
          </cell>
          <cell r="T69">
            <v>0</v>
          </cell>
          <cell r="U69" t="str">
            <v>wk-2</v>
          </cell>
        </row>
        <row r="70">
          <cell r="A70" t="str">
            <v>RMB-ACP-064</v>
          </cell>
          <cell r="B70" t="str">
            <v>Slave mode access</v>
          </cell>
          <cell r="C70" t="str">
            <v>P2</v>
          </cell>
          <cell r="D70" t="str">
            <v xml:space="preserve">acpaz55.1, </v>
          </cell>
          <cell r="E70" t="str">
            <v>I2S Test</v>
          </cell>
          <cell r="F70" t="str">
            <v>Delta</v>
          </cell>
          <cell r="G70" t="str">
            <v>Yes</v>
          </cell>
          <cell r="H70" t="str">
            <v>Yes</v>
          </cell>
          <cell r="I70">
            <v>1</v>
          </cell>
          <cell r="J70">
            <v>1</v>
          </cell>
          <cell r="K70">
            <v>1</v>
          </cell>
          <cell r="L70">
            <v>1</v>
          </cell>
          <cell r="M70">
            <v>0</v>
          </cell>
          <cell r="N70">
            <v>0</v>
          </cell>
          <cell r="O70">
            <v>0</v>
          </cell>
          <cell r="P70">
            <v>0</v>
          </cell>
          <cell r="Q70">
            <v>0</v>
          </cell>
          <cell r="R70">
            <v>0</v>
          </cell>
          <cell r="S70">
            <v>0</v>
          </cell>
          <cell r="T70">
            <v>0</v>
          </cell>
          <cell r="U70" t="str">
            <v>wk-2</v>
          </cell>
        </row>
        <row r="71">
          <cell r="A71" t="str">
            <v>RMB-ACP-065</v>
          </cell>
          <cell r="B71" t="str">
            <v>Master mode access</v>
          </cell>
          <cell r="C71" t="str">
            <v>P2</v>
          </cell>
          <cell r="D71" t="str">
            <v xml:space="preserve">acpaz55.2, </v>
          </cell>
          <cell r="E71" t="str">
            <v>I2S Test</v>
          </cell>
          <cell r="F71" t="str">
            <v>New</v>
          </cell>
          <cell r="G71" t="str">
            <v>Yes</v>
          </cell>
          <cell r="H71" t="str">
            <v>Yes</v>
          </cell>
          <cell r="I71">
            <v>1</v>
          </cell>
          <cell r="J71">
            <v>1</v>
          </cell>
          <cell r="K71">
            <v>1</v>
          </cell>
          <cell r="L71">
            <v>1</v>
          </cell>
          <cell r="M71">
            <v>0</v>
          </cell>
          <cell r="N71">
            <v>0</v>
          </cell>
          <cell r="O71">
            <v>0</v>
          </cell>
          <cell r="P71">
            <v>0</v>
          </cell>
          <cell r="Q71">
            <v>0</v>
          </cell>
          <cell r="R71">
            <v>0</v>
          </cell>
          <cell r="S71">
            <v>0</v>
          </cell>
          <cell r="T71">
            <v>0</v>
          </cell>
          <cell r="U71" t="str">
            <v>wk-5</v>
          </cell>
        </row>
        <row r="72">
          <cell r="A72" t="str">
            <v>RMB-ACP-066</v>
          </cell>
          <cell r="B72" t="str">
            <v>Mixed mode access</v>
          </cell>
          <cell r="C72" t="str">
            <v>P2</v>
          </cell>
          <cell r="D72" t="str">
            <v xml:space="preserve">, </v>
          </cell>
          <cell r="E72" t="str">
            <v>I2S Test</v>
          </cell>
          <cell r="F72" t="str">
            <v>New</v>
          </cell>
          <cell r="G72" t="str">
            <v>Yes</v>
          </cell>
          <cell r="H72" t="str">
            <v>Yes</v>
          </cell>
          <cell r="I72">
            <v>1</v>
          </cell>
          <cell r="J72">
            <v>1</v>
          </cell>
          <cell r="K72">
            <v>1</v>
          </cell>
          <cell r="L72">
            <v>1</v>
          </cell>
          <cell r="M72">
            <v>0</v>
          </cell>
          <cell r="N72">
            <v>0</v>
          </cell>
          <cell r="O72">
            <v>0</v>
          </cell>
          <cell r="P72">
            <v>0</v>
          </cell>
          <cell r="Q72">
            <v>0</v>
          </cell>
          <cell r="R72">
            <v>0</v>
          </cell>
          <cell r="S72">
            <v>0</v>
          </cell>
          <cell r="T72">
            <v>0</v>
          </cell>
          <cell r="U72" t="str">
            <v>wk-7</v>
          </cell>
        </row>
        <row r="73">
          <cell r="A73" t="str">
            <v>RMB-ACP-067</v>
          </cell>
          <cell r="B73" t="str">
            <v>I2S controller input sample rate check</v>
          </cell>
          <cell r="C73" t="str">
            <v>P2</v>
          </cell>
          <cell r="D73" t="str">
            <v xml:space="preserve">acpaz55.1, </v>
          </cell>
          <cell r="E73" t="str">
            <v>I2S Test</v>
          </cell>
          <cell r="F73" t="str">
            <v>New</v>
          </cell>
          <cell r="G73" t="str">
            <v>Yes</v>
          </cell>
          <cell r="H73" t="str">
            <v>Yes</v>
          </cell>
          <cell r="I73">
            <v>1</v>
          </cell>
          <cell r="J73">
            <v>1</v>
          </cell>
          <cell r="K73">
            <v>1</v>
          </cell>
          <cell r="L73">
            <v>1</v>
          </cell>
          <cell r="M73">
            <v>0</v>
          </cell>
          <cell r="N73">
            <v>0</v>
          </cell>
          <cell r="O73">
            <v>0</v>
          </cell>
          <cell r="P73">
            <v>0</v>
          </cell>
          <cell r="Q73">
            <v>0</v>
          </cell>
          <cell r="R73">
            <v>0</v>
          </cell>
          <cell r="S73">
            <v>0</v>
          </cell>
          <cell r="T73">
            <v>0</v>
          </cell>
          <cell r="U73" t="str">
            <v>wk-5</v>
          </cell>
        </row>
        <row r="74">
          <cell r="A74" t="str">
            <v>RMB-ACP-068</v>
          </cell>
          <cell r="B74" t="str">
            <v>I2S controller input sample rate check</v>
          </cell>
          <cell r="C74" t="str">
            <v>P2</v>
          </cell>
          <cell r="D74" t="str">
            <v xml:space="preserve">acpaz55.2, </v>
          </cell>
          <cell r="E74" t="str">
            <v>I2S Test</v>
          </cell>
          <cell r="F74" t="str">
            <v>New</v>
          </cell>
          <cell r="G74" t="str">
            <v>Yes</v>
          </cell>
          <cell r="H74" t="str">
            <v>Yes</v>
          </cell>
          <cell r="I74">
            <v>1</v>
          </cell>
          <cell r="J74">
            <v>1</v>
          </cell>
          <cell r="K74">
            <v>1</v>
          </cell>
          <cell r="L74">
            <v>1</v>
          </cell>
          <cell r="M74">
            <v>0</v>
          </cell>
          <cell r="N74">
            <v>0</v>
          </cell>
          <cell r="O74">
            <v>0</v>
          </cell>
          <cell r="P74">
            <v>0</v>
          </cell>
          <cell r="Q74">
            <v>0</v>
          </cell>
          <cell r="R74">
            <v>0</v>
          </cell>
          <cell r="S74">
            <v>0</v>
          </cell>
          <cell r="T74">
            <v>0</v>
          </cell>
          <cell r="U74" t="str">
            <v>wk-8</v>
          </cell>
        </row>
        <row r="75">
          <cell r="A75" t="str">
            <v>RMB-ACP-069</v>
          </cell>
          <cell r="B75" t="str">
            <v>I2S ACP DRAM access via circular DMA</v>
          </cell>
          <cell r="C75" t="str">
            <v>P2</v>
          </cell>
          <cell r="D75" t="str">
            <v xml:space="preserve">acpaz55.1, </v>
          </cell>
          <cell r="E75" t="str">
            <v>I2S Test</v>
          </cell>
          <cell r="F75" t="str">
            <v>New</v>
          </cell>
          <cell r="G75" t="str">
            <v>Yes</v>
          </cell>
          <cell r="H75" t="str">
            <v>Yes</v>
          </cell>
          <cell r="I75">
            <v>1</v>
          </cell>
          <cell r="J75">
            <v>1</v>
          </cell>
          <cell r="K75">
            <v>1</v>
          </cell>
          <cell r="L75">
            <v>1</v>
          </cell>
          <cell r="M75">
            <v>0</v>
          </cell>
          <cell r="N75">
            <v>0</v>
          </cell>
          <cell r="O75">
            <v>0</v>
          </cell>
          <cell r="P75">
            <v>0</v>
          </cell>
          <cell r="Q75">
            <v>0</v>
          </cell>
          <cell r="R75">
            <v>0</v>
          </cell>
          <cell r="S75">
            <v>0</v>
          </cell>
          <cell r="T75">
            <v>0</v>
          </cell>
          <cell r="U75" t="str">
            <v>wk-4</v>
          </cell>
        </row>
        <row r="76">
          <cell r="A76" t="str">
            <v>RMB-ACP-070</v>
          </cell>
          <cell r="B76" t="str">
            <v>&lt;NA&gt;</v>
          </cell>
          <cell r="C76" t="str">
            <v>P2</v>
          </cell>
          <cell r="D76" t="str">
            <v xml:space="preserve">acpaz55.1, </v>
          </cell>
          <cell r="E76" t="str">
            <v>I2S Test</v>
          </cell>
          <cell r="F76" t="str">
            <v>New</v>
          </cell>
          <cell r="G76" t="str">
            <v>Yes</v>
          </cell>
          <cell r="H76" t="str">
            <v>Yes</v>
          </cell>
          <cell r="I76">
            <v>1</v>
          </cell>
          <cell r="J76">
            <v>1</v>
          </cell>
          <cell r="K76">
            <v>1</v>
          </cell>
          <cell r="L76">
            <v>1</v>
          </cell>
          <cell r="M76">
            <v>0</v>
          </cell>
          <cell r="N76">
            <v>0</v>
          </cell>
          <cell r="O76">
            <v>0</v>
          </cell>
          <cell r="P76">
            <v>0</v>
          </cell>
          <cell r="Q76">
            <v>0</v>
          </cell>
          <cell r="R76">
            <v>0</v>
          </cell>
          <cell r="S76">
            <v>0</v>
          </cell>
          <cell r="T76">
            <v>0</v>
          </cell>
          <cell r="U76" t="str">
            <v>wk-4</v>
          </cell>
        </row>
        <row r="77">
          <cell r="A77" t="str">
            <v>RMB-ACP-071</v>
          </cell>
          <cell r="B77" t="str">
            <v>TX and RX via I2S-TDM channel</v>
          </cell>
          <cell r="C77" t="str">
            <v>P2</v>
          </cell>
          <cell r="D77" t="str">
            <v xml:space="preserve">acpaz55.1, </v>
          </cell>
          <cell r="E77" t="str">
            <v>I2S Test</v>
          </cell>
          <cell r="F77" t="str">
            <v>New</v>
          </cell>
          <cell r="G77" t="str">
            <v>Yes</v>
          </cell>
          <cell r="H77" t="str">
            <v>Yes</v>
          </cell>
          <cell r="I77">
            <v>1</v>
          </cell>
          <cell r="J77">
            <v>1</v>
          </cell>
          <cell r="K77">
            <v>1</v>
          </cell>
          <cell r="L77">
            <v>1</v>
          </cell>
          <cell r="M77">
            <v>0</v>
          </cell>
          <cell r="N77">
            <v>0</v>
          </cell>
          <cell r="O77">
            <v>0</v>
          </cell>
          <cell r="P77">
            <v>0</v>
          </cell>
          <cell r="Q77">
            <v>0</v>
          </cell>
          <cell r="R77">
            <v>0</v>
          </cell>
          <cell r="S77">
            <v>0</v>
          </cell>
          <cell r="T77">
            <v>0</v>
          </cell>
          <cell r="U77" t="str">
            <v>wk-5</v>
          </cell>
        </row>
        <row r="78">
          <cell r="A78" t="str">
            <v>RMB-ACP-072</v>
          </cell>
          <cell r="B78" t="str">
            <v>Graceful exit  of I2S TDM TX/RX channel
Graceful exit  of I2S BT TDM TX/RX channel</v>
          </cell>
          <cell r="C78" t="str">
            <v>P2</v>
          </cell>
          <cell r="D78" t="str">
            <v xml:space="preserve">acpaz55.1, acpaz56.1, </v>
          </cell>
          <cell r="E78" t="str">
            <v>I2S Test</v>
          </cell>
          <cell r="F78" t="str">
            <v>New</v>
          </cell>
          <cell r="G78" t="str">
            <v>Yes</v>
          </cell>
          <cell r="H78" t="str">
            <v>Yes</v>
          </cell>
          <cell r="I78">
            <v>2</v>
          </cell>
          <cell r="J78">
            <v>2</v>
          </cell>
          <cell r="K78">
            <v>1</v>
          </cell>
          <cell r="L78">
            <v>1</v>
          </cell>
          <cell r="M78">
            <v>0</v>
          </cell>
          <cell r="N78">
            <v>0</v>
          </cell>
          <cell r="O78">
            <v>0</v>
          </cell>
          <cell r="P78">
            <v>0</v>
          </cell>
          <cell r="Q78">
            <v>0</v>
          </cell>
          <cell r="R78">
            <v>0</v>
          </cell>
          <cell r="S78">
            <v>0</v>
          </cell>
          <cell r="T78">
            <v>0</v>
          </cell>
          <cell r="U78" t="str">
            <v>wk-7</v>
          </cell>
        </row>
        <row r="79">
          <cell r="A79" t="str">
            <v>RMB-ACP-073</v>
          </cell>
          <cell r="B79" t="str">
            <v>TX and RX via I2S-TDM channel</v>
          </cell>
          <cell r="C79" t="str">
            <v>P2</v>
          </cell>
          <cell r="D79" t="str">
            <v xml:space="preserve">acpaz55.1, </v>
          </cell>
          <cell r="E79" t="str">
            <v>I2S Test</v>
          </cell>
          <cell r="F79" t="str">
            <v>New</v>
          </cell>
          <cell r="G79" t="str">
            <v>Yes</v>
          </cell>
          <cell r="H79" t="str">
            <v>Yes</v>
          </cell>
          <cell r="I79">
            <v>1</v>
          </cell>
          <cell r="J79">
            <v>1</v>
          </cell>
          <cell r="K79">
            <v>1</v>
          </cell>
          <cell r="L79">
            <v>1</v>
          </cell>
          <cell r="M79">
            <v>0</v>
          </cell>
          <cell r="N79">
            <v>0</v>
          </cell>
          <cell r="O79">
            <v>0</v>
          </cell>
          <cell r="P79">
            <v>0</v>
          </cell>
          <cell r="Q79">
            <v>0</v>
          </cell>
          <cell r="R79">
            <v>0</v>
          </cell>
          <cell r="S79">
            <v>0</v>
          </cell>
          <cell r="T79">
            <v>0</v>
          </cell>
          <cell r="U79" t="str">
            <v>wk-5</v>
          </cell>
        </row>
        <row r="80">
          <cell r="A80" t="str">
            <v>RMB-ACP-074</v>
          </cell>
          <cell r="B80" t="str">
            <v>I2S Bus error generation (Multiple sub-tests)</v>
          </cell>
          <cell r="C80" t="str">
            <v>P2</v>
          </cell>
          <cell r="D80" t="str">
            <v xml:space="preserve">acpaz58.1-2, </v>
          </cell>
          <cell r="E80" t="str">
            <v>I2S Test</v>
          </cell>
          <cell r="F80" t="str">
            <v>New</v>
          </cell>
          <cell r="G80" t="str">
            <v>Yes</v>
          </cell>
          <cell r="H80" t="str">
            <v>Yes</v>
          </cell>
          <cell r="I80">
            <v>1</v>
          </cell>
          <cell r="J80">
            <v>2</v>
          </cell>
          <cell r="K80">
            <v>1</v>
          </cell>
          <cell r="L80">
            <v>1</v>
          </cell>
          <cell r="M80">
            <v>0</v>
          </cell>
          <cell r="N80">
            <v>0</v>
          </cell>
          <cell r="O80">
            <v>0</v>
          </cell>
          <cell r="P80">
            <v>0</v>
          </cell>
          <cell r="Q80">
            <v>0</v>
          </cell>
          <cell r="R80">
            <v>0</v>
          </cell>
          <cell r="S80">
            <v>0</v>
          </cell>
          <cell r="T80">
            <v>0</v>
          </cell>
          <cell r="U80" t="str">
            <v>wk-5</v>
          </cell>
        </row>
        <row r="81">
          <cell r="A81" t="str">
            <v>RMB-ACP-075</v>
          </cell>
          <cell r="B81" t="str">
            <v>I2S Wake-up enable</v>
          </cell>
          <cell r="C81" t="str">
            <v>P2</v>
          </cell>
          <cell r="D81" t="str">
            <v xml:space="preserve">Manual, </v>
          </cell>
          <cell r="E81" t="str">
            <v>I2S Test</v>
          </cell>
          <cell r="F81" t="str">
            <v>New</v>
          </cell>
          <cell r="G81" t="str">
            <v>Yes</v>
          </cell>
          <cell r="H81" t="str">
            <v>Yes</v>
          </cell>
          <cell r="I81">
            <v>1</v>
          </cell>
          <cell r="J81">
            <v>1</v>
          </cell>
          <cell r="K81">
            <v>1</v>
          </cell>
          <cell r="L81">
            <v>1</v>
          </cell>
          <cell r="M81">
            <v>1</v>
          </cell>
          <cell r="N81">
            <v>0</v>
          </cell>
          <cell r="O81">
            <v>0</v>
          </cell>
          <cell r="P81">
            <v>0</v>
          </cell>
          <cell r="Q81">
            <v>0</v>
          </cell>
          <cell r="R81">
            <v>0</v>
          </cell>
          <cell r="S81">
            <v>0</v>
          </cell>
          <cell r="T81">
            <v>0</v>
          </cell>
          <cell r="U81" t="str">
            <v>wk-5</v>
          </cell>
        </row>
        <row r="82">
          <cell r="A82" t="str">
            <v>RMB-ACP-076</v>
          </cell>
          <cell r="B82" t="str">
            <v>I2S interrupt after programmable transfer size</v>
          </cell>
          <cell r="C82" t="str">
            <v>P2</v>
          </cell>
          <cell r="D82" t="str">
            <v xml:space="preserve">acpaz55.1, </v>
          </cell>
          <cell r="E82" t="str">
            <v>I2S Test</v>
          </cell>
          <cell r="F82" t="str">
            <v>New</v>
          </cell>
          <cell r="G82" t="str">
            <v>Yes</v>
          </cell>
          <cell r="H82" t="str">
            <v>Yes</v>
          </cell>
          <cell r="I82">
            <v>1</v>
          </cell>
          <cell r="J82">
            <v>1</v>
          </cell>
          <cell r="K82">
            <v>1</v>
          </cell>
          <cell r="L82">
            <v>1</v>
          </cell>
          <cell r="M82">
            <v>0</v>
          </cell>
          <cell r="N82">
            <v>0</v>
          </cell>
          <cell r="O82">
            <v>0</v>
          </cell>
          <cell r="P82">
            <v>0</v>
          </cell>
          <cell r="Q82">
            <v>0</v>
          </cell>
          <cell r="R82">
            <v>0</v>
          </cell>
          <cell r="S82">
            <v>0</v>
          </cell>
          <cell r="T82">
            <v>0</v>
          </cell>
          <cell r="U82" t="str">
            <v>wk-8</v>
          </cell>
        </row>
        <row r="83">
          <cell r="A83" t="str">
            <v>RMB-ACP-077</v>
          </cell>
          <cell r="B83" t="str">
            <v>LRCLK generation</v>
          </cell>
          <cell r="C83" t="str">
            <v>P2</v>
          </cell>
          <cell r="D83" t="str">
            <v xml:space="preserve">Manual, </v>
          </cell>
          <cell r="E83" t="str">
            <v>LRCLK</v>
          </cell>
          <cell r="F83" t="str">
            <v>New</v>
          </cell>
          <cell r="G83" t="str">
            <v>Yes</v>
          </cell>
          <cell r="H83" t="str">
            <v>Yes</v>
          </cell>
          <cell r="I83">
            <v>1</v>
          </cell>
          <cell r="J83">
            <v>1</v>
          </cell>
          <cell r="K83">
            <v>1</v>
          </cell>
          <cell r="L83">
            <v>1</v>
          </cell>
          <cell r="M83">
            <v>1</v>
          </cell>
          <cell r="N83">
            <v>0</v>
          </cell>
          <cell r="O83">
            <v>0</v>
          </cell>
          <cell r="P83">
            <v>0</v>
          </cell>
          <cell r="Q83">
            <v>0</v>
          </cell>
          <cell r="R83">
            <v>0</v>
          </cell>
          <cell r="S83">
            <v>0</v>
          </cell>
          <cell r="T83">
            <v>0</v>
          </cell>
          <cell r="U83" t="str">
            <v>N/A</v>
          </cell>
        </row>
        <row r="84">
          <cell r="A84" t="str">
            <v>RMB-ACP-078</v>
          </cell>
          <cell r="B84" t="str">
            <v>Manual</v>
          </cell>
          <cell r="C84" t="str">
            <v>P2</v>
          </cell>
          <cell r="D84" t="str">
            <v xml:space="preserve">Manual, </v>
          </cell>
          <cell r="E84" t="str">
            <v>Debug bus connectivity</v>
          </cell>
          <cell r="F84" t="str">
            <v>New</v>
          </cell>
          <cell r="G84" t="str">
            <v>Yes</v>
          </cell>
          <cell r="H84" t="str">
            <v>No</v>
          </cell>
          <cell r="I84">
            <v>1</v>
          </cell>
          <cell r="J84">
            <v>1</v>
          </cell>
          <cell r="K84">
            <v>1</v>
          </cell>
          <cell r="L84">
            <v>1</v>
          </cell>
          <cell r="M84">
            <v>1</v>
          </cell>
          <cell r="N84">
            <v>0</v>
          </cell>
          <cell r="O84">
            <v>0</v>
          </cell>
          <cell r="P84">
            <v>0</v>
          </cell>
          <cell r="Q84">
            <v>0</v>
          </cell>
          <cell r="R84">
            <v>0</v>
          </cell>
          <cell r="S84">
            <v>0</v>
          </cell>
          <cell r="T84">
            <v>0</v>
          </cell>
          <cell r="U84" t="str">
            <v>wk-7</v>
          </cell>
        </row>
        <row r="85">
          <cell r="A85" t="str">
            <v>RMB-ACP-079</v>
          </cell>
          <cell r="B85" t="str">
            <v>Internal register check tool</v>
          </cell>
          <cell r="C85" t="str">
            <v>P2</v>
          </cell>
          <cell r="D85" t="str">
            <v xml:space="preserve">acpaz1.1-2, </v>
          </cell>
          <cell r="E85" t="str">
            <v>Register Test</v>
          </cell>
          <cell r="F85" t="str">
            <v>New</v>
          </cell>
          <cell r="G85" t="str">
            <v>Yes</v>
          </cell>
          <cell r="H85" t="str">
            <v>Yes</v>
          </cell>
          <cell r="I85">
            <v>1</v>
          </cell>
          <cell r="J85">
            <v>3</v>
          </cell>
          <cell r="K85">
            <v>1</v>
          </cell>
          <cell r="L85">
            <v>1</v>
          </cell>
          <cell r="M85">
            <v>2</v>
          </cell>
          <cell r="N85">
            <v>0</v>
          </cell>
          <cell r="O85">
            <v>0</v>
          </cell>
          <cell r="P85">
            <v>0</v>
          </cell>
          <cell r="Q85">
            <v>0</v>
          </cell>
          <cell r="R85">
            <v>0</v>
          </cell>
          <cell r="S85">
            <v>0</v>
          </cell>
          <cell r="T85">
            <v>0</v>
          </cell>
          <cell r="U85" t="str">
            <v>wk-5</v>
          </cell>
        </row>
        <row r="86">
          <cell r="A86" t="str">
            <v>RMB-ACP-080</v>
          </cell>
          <cell r="B86" t="str">
            <v>Semaphore Register access</v>
          </cell>
          <cell r="C86" t="str">
            <v>P2</v>
          </cell>
          <cell r="D86" t="str">
            <v xml:space="preserve">acpz33, </v>
          </cell>
          <cell r="E86" t="str">
            <v>Register Test</v>
          </cell>
          <cell r="F86" t="str">
            <v>New</v>
          </cell>
          <cell r="G86" t="str">
            <v>Yes</v>
          </cell>
          <cell r="H86" t="str">
            <v>Yes</v>
          </cell>
          <cell r="I86">
            <v>1</v>
          </cell>
          <cell r="J86">
            <v>1</v>
          </cell>
          <cell r="K86">
            <v>1</v>
          </cell>
          <cell r="L86">
            <v>1</v>
          </cell>
          <cell r="M86">
            <v>1</v>
          </cell>
          <cell r="N86">
            <v>1</v>
          </cell>
          <cell r="O86">
            <v>1</v>
          </cell>
          <cell r="P86">
            <v>0</v>
          </cell>
          <cell r="Q86">
            <v>0</v>
          </cell>
          <cell r="R86">
            <v>0</v>
          </cell>
          <cell r="S86">
            <v>0</v>
          </cell>
          <cell r="T86">
            <v>0</v>
          </cell>
          <cell r="U86" t="str">
            <v>wk-6</v>
          </cell>
        </row>
        <row r="87">
          <cell r="A87" t="str">
            <v>RMB-ACP-081</v>
          </cell>
          <cell r="B87" t="str">
            <v>Scratch Register access</v>
          </cell>
          <cell r="C87" t="str">
            <v>P2</v>
          </cell>
          <cell r="D87" t="str">
            <v xml:space="preserve">, </v>
          </cell>
          <cell r="E87" t="str">
            <v>Register Test</v>
          </cell>
          <cell r="F87" t="str">
            <v>New</v>
          </cell>
          <cell r="G87" t="str">
            <v>Yes</v>
          </cell>
          <cell r="H87" t="str">
            <v>Yes</v>
          </cell>
          <cell r="I87">
            <v>1</v>
          </cell>
          <cell r="J87">
            <v>1</v>
          </cell>
          <cell r="K87">
            <v>1</v>
          </cell>
          <cell r="L87">
            <v>1</v>
          </cell>
          <cell r="M87">
            <v>0</v>
          </cell>
          <cell r="N87">
            <v>0</v>
          </cell>
          <cell r="O87">
            <v>0</v>
          </cell>
          <cell r="P87">
            <v>0</v>
          </cell>
          <cell r="Q87">
            <v>0</v>
          </cell>
          <cell r="R87">
            <v>0</v>
          </cell>
          <cell r="S87">
            <v>0</v>
          </cell>
          <cell r="T87">
            <v>0</v>
          </cell>
          <cell r="U87" t="str">
            <v>wk-8</v>
          </cell>
        </row>
        <row r="88">
          <cell r="A88" t="str">
            <v>RMB-ACP-082</v>
          </cell>
          <cell r="B88" t="str">
            <v>PDM decoder with 2 channels</v>
          </cell>
          <cell r="C88" t="str">
            <v>P2</v>
          </cell>
          <cell r="D88" t="str">
            <v xml:space="preserve">acpaz38, </v>
          </cell>
          <cell r="E88" t="str">
            <v>PDM Decoder</v>
          </cell>
          <cell r="F88" t="str">
            <v>New</v>
          </cell>
          <cell r="G88" t="str">
            <v>Yes</v>
          </cell>
          <cell r="H88" t="str">
            <v>Yes</v>
          </cell>
          <cell r="I88">
            <v>1</v>
          </cell>
          <cell r="J88">
            <v>96</v>
          </cell>
          <cell r="K88">
            <v>1</v>
          </cell>
          <cell r="L88">
            <v>1</v>
          </cell>
          <cell r="M88">
            <v>0</v>
          </cell>
          <cell r="N88">
            <v>0</v>
          </cell>
          <cell r="O88">
            <v>0</v>
          </cell>
          <cell r="P88">
            <v>0</v>
          </cell>
          <cell r="Q88">
            <v>0</v>
          </cell>
          <cell r="R88">
            <v>0</v>
          </cell>
          <cell r="S88">
            <v>0</v>
          </cell>
          <cell r="T88">
            <v>0</v>
          </cell>
          <cell r="U88" t="str">
            <v>wk-5</v>
          </cell>
        </row>
        <row r="89">
          <cell r="A89" t="str">
            <v>RMB-ACP-083</v>
          </cell>
          <cell r="B89" t="str">
            <v>Verify all clock combinations</v>
          </cell>
          <cell r="C89" t="str">
            <v>P2</v>
          </cell>
          <cell r="D89" t="str">
            <v xml:space="preserve">acpaz38, </v>
          </cell>
          <cell r="E89" t="str">
            <v>DMIC Interface</v>
          </cell>
          <cell r="F89" t="str">
            <v>Legacy</v>
          </cell>
          <cell r="G89" t="str">
            <v>Yes</v>
          </cell>
          <cell r="H89" t="str">
            <v>Yes</v>
          </cell>
          <cell r="I89">
            <v>1</v>
          </cell>
          <cell r="J89">
            <v>1</v>
          </cell>
          <cell r="K89">
            <v>1</v>
          </cell>
          <cell r="L89">
            <v>1</v>
          </cell>
          <cell r="M89">
            <v>0</v>
          </cell>
          <cell r="N89">
            <v>0</v>
          </cell>
          <cell r="O89">
            <v>0</v>
          </cell>
          <cell r="P89">
            <v>0</v>
          </cell>
          <cell r="Q89">
            <v>0</v>
          </cell>
          <cell r="R89">
            <v>0</v>
          </cell>
          <cell r="S89">
            <v>0</v>
          </cell>
          <cell r="T89">
            <v>0</v>
          </cell>
          <cell r="U89" t="str">
            <v>wk-5</v>
          </cell>
        </row>
        <row r="90">
          <cell r="A90" t="str">
            <v>RMB-ACP-084</v>
          </cell>
          <cell r="B90" t="str">
            <v>Data transfers at supported PDM Interface clocks</v>
          </cell>
          <cell r="C90" t="str">
            <v>P2</v>
          </cell>
          <cell r="D90" t="str">
            <v xml:space="preserve">acpaz38, </v>
          </cell>
          <cell r="E90" t="str">
            <v>DMIC Interface</v>
          </cell>
          <cell r="F90" t="str">
            <v>Legacy</v>
          </cell>
          <cell r="G90" t="str">
            <v>Yes</v>
          </cell>
          <cell r="H90" t="str">
            <v>Yes</v>
          </cell>
          <cell r="I90">
            <v>1</v>
          </cell>
          <cell r="J90">
            <v>1</v>
          </cell>
          <cell r="K90">
            <v>1</v>
          </cell>
          <cell r="L90">
            <v>1</v>
          </cell>
          <cell r="M90">
            <v>0</v>
          </cell>
          <cell r="N90">
            <v>0</v>
          </cell>
          <cell r="O90">
            <v>0</v>
          </cell>
          <cell r="P90">
            <v>0</v>
          </cell>
          <cell r="Q90">
            <v>0</v>
          </cell>
          <cell r="R90">
            <v>0</v>
          </cell>
          <cell r="S90">
            <v>0</v>
          </cell>
          <cell r="T90">
            <v>0</v>
          </cell>
          <cell r="U90" t="str">
            <v>wk-5</v>
          </cell>
        </row>
        <row r="91">
          <cell r="A91" t="str">
            <v>RMB-ACP-085</v>
          </cell>
          <cell r="B91" t="str">
            <v>DMA from PDM to host</v>
          </cell>
          <cell r="C91" t="str">
            <v>P2</v>
          </cell>
          <cell r="D91" t="str">
            <v xml:space="preserve">acpaz38, </v>
          </cell>
          <cell r="E91" t="str">
            <v>DMIC Interface</v>
          </cell>
          <cell r="F91" t="str">
            <v>Delta</v>
          </cell>
          <cell r="G91" t="str">
            <v>Yes</v>
          </cell>
          <cell r="H91" t="str">
            <v>Yes</v>
          </cell>
          <cell r="I91">
            <v>1</v>
          </cell>
          <cell r="J91">
            <v>1</v>
          </cell>
          <cell r="K91">
            <v>1</v>
          </cell>
          <cell r="L91">
            <v>1</v>
          </cell>
          <cell r="M91">
            <v>0</v>
          </cell>
          <cell r="N91">
            <v>0</v>
          </cell>
          <cell r="O91">
            <v>0</v>
          </cell>
          <cell r="P91">
            <v>0</v>
          </cell>
          <cell r="Q91">
            <v>0</v>
          </cell>
          <cell r="R91">
            <v>0</v>
          </cell>
          <cell r="S91">
            <v>0</v>
          </cell>
          <cell r="T91">
            <v>0</v>
          </cell>
          <cell r="U91" t="str">
            <v>wk-5</v>
          </cell>
        </row>
        <row r="92">
          <cell r="A92" t="str">
            <v>RMB-ACP-086</v>
          </cell>
          <cell r="B92" t="str">
            <v>DMA from PDM to SRAM</v>
          </cell>
          <cell r="C92" t="str">
            <v>P2</v>
          </cell>
          <cell r="D92" t="str">
            <v xml:space="preserve">acpaz38, </v>
          </cell>
          <cell r="E92" t="str">
            <v>DMIC Interface</v>
          </cell>
          <cell r="F92" t="str">
            <v>Delta</v>
          </cell>
          <cell r="G92" t="str">
            <v>Yes</v>
          </cell>
          <cell r="H92" t="str">
            <v>Yes</v>
          </cell>
          <cell r="I92">
            <v>1</v>
          </cell>
          <cell r="J92">
            <v>1</v>
          </cell>
          <cell r="K92">
            <v>1</v>
          </cell>
          <cell r="L92">
            <v>1</v>
          </cell>
          <cell r="M92">
            <v>0</v>
          </cell>
          <cell r="N92">
            <v>0</v>
          </cell>
          <cell r="O92">
            <v>0</v>
          </cell>
          <cell r="P92">
            <v>0</v>
          </cell>
          <cell r="Q92">
            <v>0</v>
          </cell>
          <cell r="R92">
            <v>0</v>
          </cell>
          <cell r="S92">
            <v>0</v>
          </cell>
          <cell r="T92">
            <v>0</v>
          </cell>
          <cell r="U92" t="str">
            <v>wk-5</v>
          </cell>
        </row>
        <row r="93">
          <cell r="A93" t="str">
            <v>RMB-ACP-087</v>
          </cell>
          <cell r="B93" t="str">
            <v>ACP to CP doorbell access</v>
          </cell>
          <cell r="C93" t="str">
            <v>P2</v>
          </cell>
          <cell r="D93" t="str">
            <v xml:space="preserve">acpaz98.1-6, </v>
          </cell>
          <cell r="E93" t="str">
            <v>Doorbell access</v>
          </cell>
          <cell r="F93" t="str">
            <v>Delta</v>
          </cell>
          <cell r="G93" t="str">
            <v>Yes</v>
          </cell>
          <cell r="H93" t="str">
            <v>Yes</v>
          </cell>
          <cell r="I93">
            <v>1</v>
          </cell>
          <cell r="J93">
            <v>6</v>
          </cell>
          <cell r="K93">
            <v>1</v>
          </cell>
          <cell r="L93">
            <v>1</v>
          </cell>
          <cell r="M93">
            <v>6</v>
          </cell>
          <cell r="N93">
            <v>0</v>
          </cell>
          <cell r="O93">
            <v>0</v>
          </cell>
          <cell r="P93">
            <v>0</v>
          </cell>
          <cell r="Q93">
            <v>0</v>
          </cell>
          <cell r="R93">
            <v>0</v>
          </cell>
          <cell r="S93">
            <v>0</v>
          </cell>
          <cell r="T93">
            <v>0</v>
          </cell>
          <cell r="U93" t="str">
            <v>wk-5</v>
          </cell>
        </row>
        <row r="94">
          <cell r="A94" t="str">
            <v>RMB-ACP-088</v>
          </cell>
          <cell r="B94" t="str">
            <v>Check access to IRAM/DRAM secure and unsecure areas</v>
          </cell>
          <cell r="C94" t="str">
            <v>P2</v>
          </cell>
          <cell r="D94" t="str">
            <v xml:space="preserve">acpaz92.2-5, </v>
          </cell>
          <cell r="E94" t="str">
            <v>IRAM/DRAM Security</v>
          </cell>
          <cell r="F94" t="str">
            <v>Delta</v>
          </cell>
          <cell r="G94" t="str">
            <v>Yes</v>
          </cell>
          <cell r="H94" t="str">
            <v>Yes</v>
          </cell>
          <cell r="I94">
            <v>1</v>
          </cell>
          <cell r="J94">
            <v>4</v>
          </cell>
          <cell r="K94">
            <v>1</v>
          </cell>
          <cell r="L94">
            <v>1</v>
          </cell>
          <cell r="M94">
            <v>4</v>
          </cell>
          <cell r="N94">
            <v>4</v>
          </cell>
          <cell r="O94">
            <v>1</v>
          </cell>
          <cell r="P94">
            <v>0</v>
          </cell>
          <cell r="Q94">
            <v>0</v>
          </cell>
          <cell r="R94">
            <v>0</v>
          </cell>
          <cell r="S94">
            <v>0</v>
          </cell>
          <cell r="T94">
            <v>0</v>
          </cell>
          <cell r="U94" t="str">
            <v>wk-5</v>
          </cell>
        </row>
        <row r="95">
          <cell r="A95" t="str">
            <v>RMB-ACP-089</v>
          </cell>
          <cell r="B95" t="str">
            <v xml:space="preserve">HD Audio Codec detection </v>
          </cell>
          <cell r="C95" t="str">
            <v>P2</v>
          </cell>
          <cell r="D95" t="str">
            <v xml:space="preserve">shd3.2, </v>
          </cell>
          <cell r="E95" t="str">
            <v>Azalia Test</v>
          </cell>
          <cell r="F95" t="str">
            <v>Legacy</v>
          </cell>
          <cell r="G95" t="str">
            <v>Yes</v>
          </cell>
          <cell r="H95" t="str">
            <v>Yes</v>
          </cell>
          <cell r="I95">
            <v>1</v>
          </cell>
          <cell r="J95">
            <v>1</v>
          </cell>
          <cell r="K95">
            <v>1</v>
          </cell>
          <cell r="L95">
            <v>1</v>
          </cell>
          <cell r="M95">
            <v>1</v>
          </cell>
          <cell r="N95">
            <v>0</v>
          </cell>
          <cell r="O95">
            <v>0</v>
          </cell>
          <cell r="P95">
            <v>0</v>
          </cell>
          <cell r="Q95">
            <v>0</v>
          </cell>
          <cell r="R95">
            <v>0</v>
          </cell>
          <cell r="S95">
            <v>0</v>
          </cell>
          <cell r="T95">
            <v>0</v>
          </cell>
          <cell r="U95" t="str">
            <v>wk-4</v>
          </cell>
        </row>
        <row r="96">
          <cell r="A96" t="str">
            <v>RMB-ACP-090</v>
          </cell>
          <cell r="B96" t="str">
            <v xml:space="preserve">CORB/RIRB DMA transfer
Single stream multichannel loopback </v>
          </cell>
          <cell r="C96" t="str">
            <v>P2</v>
          </cell>
          <cell r="D96" t="str">
            <v xml:space="preserve">shd4.2, shd4.12, </v>
          </cell>
          <cell r="E96" t="str">
            <v>Azalia Test</v>
          </cell>
          <cell r="F96" t="str">
            <v>Legacy</v>
          </cell>
          <cell r="G96" t="str">
            <v>Yes</v>
          </cell>
          <cell r="H96" t="str">
            <v>Yes</v>
          </cell>
          <cell r="I96">
            <v>2</v>
          </cell>
          <cell r="J96">
            <v>2</v>
          </cell>
          <cell r="K96">
            <v>1</v>
          </cell>
          <cell r="L96">
            <v>1</v>
          </cell>
          <cell r="M96">
            <v>2</v>
          </cell>
          <cell r="N96">
            <v>0</v>
          </cell>
          <cell r="O96">
            <v>0</v>
          </cell>
          <cell r="P96">
            <v>0</v>
          </cell>
          <cell r="Q96">
            <v>0</v>
          </cell>
          <cell r="R96">
            <v>0</v>
          </cell>
          <cell r="S96">
            <v>0</v>
          </cell>
          <cell r="T96">
            <v>0</v>
          </cell>
          <cell r="U96" t="str">
            <v>wk-4</v>
          </cell>
        </row>
        <row r="97">
          <cell r="A97" t="str">
            <v>RMB-ACP-091</v>
          </cell>
          <cell r="B97" t="str">
            <v>AZ register access from DSP and host</v>
          </cell>
          <cell r="C97" t="str">
            <v>P2</v>
          </cell>
          <cell r="D97" t="str">
            <v xml:space="preserve">acpaz70.5, </v>
          </cell>
          <cell r="E97" t="str">
            <v>Azalia Test</v>
          </cell>
          <cell r="F97" t="str">
            <v>Legacy</v>
          </cell>
          <cell r="G97" t="str">
            <v>Yes</v>
          </cell>
          <cell r="H97" t="str">
            <v>Yes</v>
          </cell>
          <cell r="I97">
            <v>1</v>
          </cell>
          <cell r="J97">
            <v>1</v>
          </cell>
          <cell r="K97">
            <v>1</v>
          </cell>
          <cell r="L97">
            <v>1</v>
          </cell>
          <cell r="M97">
            <v>1</v>
          </cell>
          <cell r="N97">
            <v>0</v>
          </cell>
          <cell r="O97">
            <v>0</v>
          </cell>
          <cell r="P97">
            <v>0</v>
          </cell>
          <cell r="Q97">
            <v>0</v>
          </cell>
          <cell r="R97">
            <v>0</v>
          </cell>
          <cell r="S97">
            <v>0</v>
          </cell>
          <cell r="T97">
            <v>0</v>
          </cell>
          <cell r="U97" t="str">
            <v>wk-4</v>
          </cell>
        </row>
        <row r="98">
          <cell r="A98" t="str">
            <v>RMB-ACP-092</v>
          </cell>
          <cell r="B98" t="str">
            <v>CORB/RIRB DMA transfer with ACP DRAM</v>
          </cell>
          <cell r="C98" t="str">
            <v>P2</v>
          </cell>
          <cell r="D98" t="str">
            <v xml:space="preserve">acpaz70.1, </v>
          </cell>
          <cell r="E98" t="str">
            <v>Azalia Test</v>
          </cell>
          <cell r="F98" t="str">
            <v>Legacy</v>
          </cell>
          <cell r="G98" t="str">
            <v>Yes</v>
          </cell>
          <cell r="H98" t="str">
            <v>Yes</v>
          </cell>
          <cell r="I98">
            <v>1</v>
          </cell>
          <cell r="J98">
            <v>1</v>
          </cell>
          <cell r="K98">
            <v>1</v>
          </cell>
          <cell r="L98">
            <v>1</v>
          </cell>
          <cell r="M98">
            <v>1</v>
          </cell>
          <cell r="N98">
            <v>0</v>
          </cell>
          <cell r="O98">
            <v>0</v>
          </cell>
          <cell r="P98">
            <v>0</v>
          </cell>
          <cell r="Q98">
            <v>0</v>
          </cell>
          <cell r="R98">
            <v>0</v>
          </cell>
          <cell r="S98">
            <v>0</v>
          </cell>
          <cell r="T98">
            <v>0</v>
          </cell>
          <cell r="U98" t="str">
            <v>wk-4</v>
          </cell>
        </row>
        <row r="99">
          <cell r="A99" t="str">
            <v>RMB-ACP-093</v>
          </cell>
          <cell r="B99" t="str">
            <v xml:space="preserve">Azalia Wakeup </v>
          </cell>
          <cell r="C99" t="str">
            <v>P2</v>
          </cell>
          <cell r="D99" t="str">
            <v xml:space="preserve">, </v>
          </cell>
          <cell r="E99" t="str">
            <v>Azalia Test</v>
          </cell>
          <cell r="F99" t="str">
            <v>Legacy</v>
          </cell>
          <cell r="G99" t="str">
            <v>Yes</v>
          </cell>
          <cell r="H99" t="str">
            <v>Yes</v>
          </cell>
          <cell r="I99">
            <v>1</v>
          </cell>
          <cell r="J99">
            <v>1</v>
          </cell>
          <cell r="K99">
            <v>1</v>
          </cell>
          <cell r="L99">
            <v>1</v>
          </cell>
          <cell r="M99">
            <v>1</v>
          </cell>
          <cell r="N99">
            <v>0</v>
          </cell>
          <cell r="O99">
            <v>0</v>
          </cell>
          <cell r="P99">
            <v>0</v>
          </cell>
          <cell r="Q99">
            <v>0</v>
          </cell>
          <cell r="R99">
            <v>0</v>
          </cell>
          <cell r="S99">
            <v>0</v>
          </cell>
          <cell r="T99">
            <v>0</v>
          </cell>
          <cell r="U99" t="str">
            <v>wk-4</v>
          </cell>
        </row>
        <row r="100">
          <cell r="A100" t="str">
            <v>RMB-ACP-094</v>
          </cell>
          <cell r="B100" t="str">
            <v>Programmable BCLK frequency check</v>
          </cell>
          <cell r="C100" t="str">
            <v>P2</v>
          </cell>
          <cell r="D100" t="str">
            <v xml:space="preserve">, </v>
          </cell>
          <cell r="E100" t="str">
            <v>Azalia Test</v>
          </cell>
          <cell r="F100" t="str">
            <v>Legacy</v>
          </cell>
          <cell r="G100" t="str">
            <v>Yes</v>
          </cell>
          <cell r="H100" t="str">
            <v>Yes</v>
          </cell>
          <cell r="I100">
            <v>1</v>
          </cell>
          <cell r="J100">
            <v>1</v>
          </cell>
          <cell r="K100">
            <v>1</v>
          </cell>
          <cell r="L100">
            <v>1</v>
          </cell>
          <cell r="M100">
            <v>1</v>
          </cell>
          <cell r="N100">
            <v>0</v>
          </cell>
          <cell r="O100">
            <v>0</v>
          </cell>
          <cell r="P100">
            <v>0</v>
          </cell>
          <cell r="Q100">
            <v>0</v>
          </cell>
          <cell r="R100">
            <v>0</v>
          </cell>
          <cell r="S100">
            <v>0</v>
          </cell>
          <cell r="T100">
            <v>0</v>
          </cell>
          <cell r="U100" t="str">
            <v>wk-4</v>
          </cell>
        </row>
        <row r="101">
          <cell r="A101" t="str">
            <v>RMB-ACP-095</v>
          </cell>
          <cell r="B101" t="str">
            <v xml:space="preserve">HD Audio Codec detection </v>
          </cell>
          <cell r="C101" t="str">
            <v>P2</v>
          </cell>
          <cell r="D101" t="str">
            <v xml:space="preserve">shd3.2, </v>
          </cell>
          <cell r="E101" t="str">
            <v>Azalia Test</v>
          </cell>
          <cell r="F101" t="str">
            <v>Legacy</v>
          </cell>
          <cell r="G101" t="str">
            <v>Yes</v>
          </cell>
          <cell r="H101" t="str">
            <v>Yes</v>
          </cell>
          <cell r="I101">
            <v>1</v>
          </cell>
          <cell r="J101">
            <v>1</v>
          </cell>
          <cell r="K101">
            <v>1</v>
          </cell>
          <cell r="L101">
            <v>1</v>
          </cell>
          <cell r="M101">
            <v>0</v>
          </cell>
          <cell r="N101">
            <v>0</v>
          </cell>
          <cell r="O101">
            <v>0</v>
          </cell>
          <cell r="P101">
            <v>0</v>
          </cell>
          <cell r="Q101">
            <v>0</v>
          </cell>
          <cell r="R101">
            <v>0</v>
          </cell>
          <cell r="S101">
            <v>0</v>
          </cell>
          <cell r="T101">
            <v>0</v>
          </cell>
          <cell r="U101" t="str">
            <v>wk-4</v>
          </cell>
        </row>
        <row r="102">
          <cell r="A102" t="str">
            <v>RMB-ACP-096</v>
          </cell>
          <cell r="B102" t="str">
            <v>Soundwire all TX RX stream check</v>
          </cell>
          <cell r="C102" t="str">
            <v>P2</v>
          </cell>
          <cell r="D102" t="str">
            <v xml:space="preserve">, </v>
          </cell>
          <cell r="E102" t="str">
            <v>SoundWire</v>
          </cell>
          <cell r="F102" t="str">
            <v>Legacy</v>
          </cell>
          <cell r="G102" t="str">
            <v>Yes</v>
          </cell>
          <cell r="H102" t="str">
            <v>Yes</v>
          </cell>
          <cell r="I102">
            <v>1</v>
          </cell>
          <cell r="J102">
            <v>1</v>
          </cell>
          <cell r="K102">
            <v>1</v>
          </cell>
          <cell r="L102">
            <v>1</v>
          </cell>
          <cell r="M102">
            <v>0</v>
          </cell>
          <cell r="N102">
            <v>0</v>
          </cell>
          <cell r="O102">
            <v>0</v>
          </cell>
          <cell r="P102">
            <v>0</v>
          </cell>
          <cell r="Q102">
            <v>0</v>
          </cell>
          <cell r="R102">
            <v>0</v>
          </cell>
          <cell r="S102">
            <v>0</v>
          </cell>
          <cell r="T102">
            <v>0</v>
          </cell>
          <cell r="U102" t="str">
            <v>wk-4</v>
          </cell>
        </row>
        <row r="103">
          <cell r="A103" t="str">
            <v>RMB-ACP-097</v>
          </cell>
          <cell r="B103" t="str">
            <v>Soundwire all TX RX stream check</v>
          </cell>
          <cell r="C103" t="str">
            <v>P2</v>
          </cell>
          <cell r="D103" t="str">
            <v xml:space="preserve">, </v>
          </cell>
          <cell r="E103" t="str">
            <v>SoundWire</v>
          </cell>
          <cell r="F103" t="str">
            <v>Legacy</v>
          </cell>
          <cell r="G103" t="str">
            <v>Yes</v>
          </cell>
          <cell r="H103" t="str">
            <v>Yes</v>
          </cell>
          <cell r="I103">
            <v>1</v>
          </cell>
          <cell r="J103">
            <v>1</v>
          </cell>
          <cell r="K103">
            <v>1</v>
          </cell>
          <cell r="L103">
            <v>1</v>
          </cell>
          <cell r="M103">
            <v>0</v>
          </cell>
          <cell r="N103">
            <v>0</v>
          </cell>
          <cell r="O103">
            <v>0</v>
          </cell>
          <cell r="P103">
            <v>0</v>
          </cell>
          <cell r="Q103">
            <v>0</v>
          </cell>
          <cell r="R103">
            <v>0</v>
          </cell>
          <cell r="S103">
            <v>0</v>
          </cell>
          <cell r="T103">
            <v>0</v>
          </cell>
          <cell r="U103" t="str">
            <v>wk-4</v>
          </cell>
        </row>
        <row r="104">
          <cell r="A104" t="str">
            <v>RMB-ACP-098</v>
          </cell>
          <cell r="B104" t="str">
            <v>Soundwire CORB/RIRB DMA transfer check</v>
          </cell>
          <cell r="C104" t="str">
            <v>P2</v>
          </cell>
          <cell r="D104" t="str">
            <v xml:space="preserve">, </v>
          </cell>
          <cell r="E104" t="str">
            <v>SoundWire</v>
          </cell>
          <cell r="F104" t="str">
            <v>Legacy</v>
          </cell>
          <cell r="G104" t="str">
            <v>Yes</v>
          </cell>
          <cell r="H104" t="str">
            <v>Yes</v>
          </cell>
          <cell r="I104">
            <v>1</v>
          </cell>
          <cell r="J104">
            <v>1</v>
          </cell>
          <cell r="K104">
            <v>1</v>
          </cell>
          <cell r="L104">
            <v>1</v>
          </cell>
          <cell r="M104">
            <v>0</v>
          </cell>
          <cell r="N104">
            <v>0</v>
          </cell>
          <cell r="O104">
            <v>0</v>
          </cell>
          <cell r="P104">
            <v>0</v>
          </cell>
          <cell r="Q104">
            <v>0</v>
          </cell>
          <cell r="R104">
            <v>0</v>
          </cell>
          <cell r="S104">
            <v>0</v>
          </cell>
          <cell r="T104">
            <v>0</v>
          </cell>
          <cell r="U104" t="str">
            <v>wk-4</v>
          </cell>
        </row>
        <row r="105">
          <cell r="A105" t="str">
            <v>RMB-ACP-099</v>
          </cell>
          <cell r="B105" t="str">
            <v>Soundwire all TX RX stream check</v>
          </cell>
          <cell r="C105" t="str">
            <v>P2</v>
          </cell>
          <cell r="D105" t="str">
            <v xml:space="preserve">, </v>
          </cell>
          <cell r="E105" t="str">
            <v>SoundWire</v>
          </cell>
          <cell r="F105" t="str">
            <v>Legacy</v>
          </cell>
          <cell r="G105" t="str">
            <v>Yes</v>
          </cell>
          <cell r="H105" t="str">
            <v>Yes</v>
          </cell>
          <cell r="I105">
            <v>1</v>
          </cell>
          <cell r="J105">
            <v>1</v>
          </cell>
          <cell r="K105">
            <v>1</v>
          </cell>
          <cell r="L105">
            <v>1</v>
          </cell>
          <cell r="M105">
            <v>0</v>
          </cell>
          <cell r="N105">
            <v>0</v>
          </cell>
          <cell r="O105">
            <v>0</v>
          </cell>
          <cell r="P105">
            <v>0</v>
          </cell>
          <cell r="Q105">
            <v>0</v>
          </cell>
          <cell r="R105">
            <v>0</v>
          </cell>
          <cell r="S105">
            <v>0</v>
          </cell>
          <cell r="T105">
            <v>0</v>
          </cell>
          <cell r="U105" t="str">
            <v>wk-4</v>
          </cell>
        </row>
        <row r="106">
          <cell r="A106" t="str">
            <v>RMB-ACP-100</v>
          </cell>
          <cell r="B106" t="str">
            <v>ACP BPT soundwire check</v>
          </cell>
          <cell r="C106" t="str">
            <v>P2</v>
          </cell>
          <cell r="D106" t="str">
            <v xml:space="preserve">, </v>
          </cell>
          <cell r="E106" t="str">
            <v>SoundWire</v>
          </cell>
          <cell r="F106" t="str">
            <v>Legacy</v>
          </cell>
          <cell r="G106" t="str">
            <v>Yes</v>
          </cell>
          <cell r="H106" t="str">
            <v>Yes</v>
          </cell>
          <cell r="I106">
            <v>1</v>
          </cell>
          <cell r="J106">
            <v>1</v>
          </cell>
          <cell r="K106">
            <v>1</v>
          </cell>
          <cell r="L106">
            <v>1</v>
          </cell>
          <cell r="M106">
            <v>0</v>
          </cell>
          <cell r="N106">
            <v>0</v>
          </cell>
          <cell r="O106">
            <v>0</v>
          </cell>
          <cell r="P106">
            <v>0</v>
          </cell>
          <cell r="Q106">
            <v>0</v>
          </cell>
          <cell r="R106">
            <v>0</v>
          </cell>
          <cell r="S106">
            <v>0</v>
          </cell>
          <cell r="T106">
            <v>0</v>
          </cell>
          <cell r="U106" t="str">
            <v>wk-4</v>
          </cell>
        </row>
        <row r="107">
          <cell r="A107" t="str">
            <v>RMB-ACP-101</v>
          </cell>
          <cell r="B107" t="str">
            <v>Change Clock value during TX/RX stream transfer</v>
          </cell>
          <cell r="C107" t="str">
            <v>P2</v>
          </cell>
          <cell r="D107" t="str">
            <v xml:space="preserve">, </v>
          </cell>
          <cell r="E107" t="str">
            <v>SoundWire</v>
          </cell>
          <cell r="F107" t="str">
            <v>Legacy</v>
          </cell>
          <cell r="G107" t="str">
            <v>Yes</v>
          </cell>
          <cell r="H107" t="str">
            <v>Yes</v>
          </cell>
          <cell r="I107">
            <v>1</v>
          </cell>
          <cell r="J107">
            <v>1</v>
          </cell>
          <cell r="K107">
            <v>1</v>
          </cell>
          <cell r="L107">
            <v>1</v>
          </cell>
          <cell r="M107">
            <v>0</v>
          </cell>
          <cell r="N107">
            <v>0</v>
          </cell>
          <cell r="O107">
            <v>0</v>
          </cell>
          <cell r="P107">
            <v>0</v>
          </cell>
          <cell r="Q107">
            <v>0</v>
          </cell>
          <cell r="R107">
            <v>0</v>
          </cell>
          <cell r="S107">
            <v>0</v>
          </cell>
          <cell r="T107">
            <v>0</v>
          </cell>
          <cell r="U107" t="str">
            <v>wk-4</v>
          </cell>
        </row>
        <row r="108">
          <cell r="A108" t="str">
            <v>RMB-ACP-102</v>
          </cell>
          <cell r="B108" t="str">
            <v>Soundwire immediate tagged commands check</v>
          </cell>
          <cell r="C108" t="str">
            <v>P2</v>
          </cell>
          <cell r="D108" t="str">
            <v xml:space="preserve">, </v>
          </cell>
          <cell r="E108" t="str">
            <v>SoundWire</v>
          </cell>
          <cell r="F108" t="str">
            <v>Legacy</v>
          </cell>
          <cell r="G108" t="str">
            <v>Yes</v>
          </cell>
          <cell r="H108" t="str">
            <v>Yes</v>
          </cell>
          <cell r="I108">
            <v>1</v>
          </cell>
          <cell r="J108">
            <v>1</v>
          </cell>
          <cell r="K108">
            <v>1</v>
          </cell>
          <cell r="L108">
            <v>1</v>
          </cell>
          <cell r="M108">
            <v>0</v>
          </cell>
          <cell r="N108">
            <v>0</v>
          </cell>
          <cell r="O108">
            <v>0</v>
          </cell>
          <cell r="P108">
            <v>0</v>
          </cell>
          <cell r="Q108">
            <v>0</v>
          </cell>
          <cell r="R108">
            <v>0</v>
          </cell>
          <cell r="S108">
            <v>0</v>
          </cell>
          <cell r="T108">
            <v>0</v>
          </cell>
          <cell r="U108" t="str">
            <v>wk-4</v>
          </cell>
        </row>
        <row r="109">
          <cell r="A109" t="str">
            <v>RMB-ACP-103</v>
          </cell>
          <cell r="B109" t="str">
            <v xml:space="preserve"> Soundwire slave status check</v>
          </cell>
          <cell r="C109" t="str">
            <v>P2</v>
          </cell>
          <cell r="D109" t="str">
            <v xml:space="preserve">, </v>
          </cell>
          <cell r="E109" t="str">
            <v>SoundWire</v>
          </cell>
          <cell r="F109" t="str">
            <v>Legacy</v>
          </cell>
          <cell r="G109" t="str">
            <v>Yes</v>
          </cell>
          <cell r="H109" t="str">
            <v>Yes</v>
          </cell>
          <cell r="I109">
            <v>1</v>
          </cell>
          <cell r="J109">
            <v>1</v>
          </cell>
          <cell r="K109">
            <v>1</v>
          </cell>
          <cell r="L109">
            <v>1</v>
          </cell>
          <cell r="M109">
            <v>0</v>
          </cell>
          <cell r="N109">
            <v>0</v>
          </cell>
          <cell r="O109">
            <v>0</v>
          </cell>
          <cell r="P109">
            <v>0</v>
          </cell>
          <cell r="Q109">
            <v>0</v>
          </cell>
          <cell r="R109">
            <v>0</v>
          </cell>
          <cell r="S109">
            <v>0</v>
          </cell>
          <cell r="T109">
            <v>0</v>
          </cell>
          <cell r="U109" t="str">
            <v>wk-4</v>
          </cell>
        </row>
        <row r="110">
          <cell r="A110" t="str">
            <v>RMB-ACP-104</v>
          </cell>
          <cell r="B110" t="str">
            <v>Soundwire audio corb check
Soundwire BT corb check
Soundwire HS corb check</v>
          </cell>
          <cell r="C110" t="str">
            <v>P2</v>
          </cell>
          <cell r="D110" t="str">
            <v xml:space="preserve">, , , </v>
          </cell>
          <cell r="E110" t="str">
            <v>SoundWire</v>
          </cell>
          <cell r="F110" t="str">
            <v>Legacy</v>
          </cell>
          <cell r="G110" t="str">
            <v>Yes</v>
          </cell>
          <cell r="H110" t="str">
            <v>Yes</v>
          </cell>
          <cell r="I110">
            <v>3</v>
          </cell>
          <cell r="J110">
            <v>3</v>
          </cell>
          <cell r="K110">
            <v>1</v>
          </cell>
          <cell r="L110">
            <v>1</v>
          </cell>
          <cell r="M110">
            <v>0</v>
          </cell>
          <cell r="N110">
            <v>0</v>
          </cell>
          <cell r="O110">
            <v>0</v>
          </cell>
          <cell r="P110">
            <v>0</v>
          </cell>
          <cell r="Q110">
            <v>0</v>
          </cell>
          <cell r="R110">
            <v>0</v>
          </cell>
          <cell r="S110">
            <v>0</v>
          </cell>
          <cell r="T110">
            <v>0</v>
          </cell>
          <cell r="U110" t="str">
            <v>wk-4</v>
          </cell>
        </row>
        <row r="111">
          <cell r="A111" t="str">
            <v>RMB-ACP-105</v>
          </cell>
          <cell r="B111" t="str">
            <v>Soundwire audio circular dpch RX
Soundwire audio linear dpch RX</v>
          </cell>
          <cell r="C111" t="str">
            <v>P2</v>
          </cell>
          <cell r="D111" t="str">
            <v xml:space="preserve">, , </v>
          </cell>
          <cell r="E111" t="str">
            <v>SoundWire</v>
          </cell>
          <cell r="F111" t="str">
            <v>Legacy</v>
          </cell>
          <cell r="G111" t="str">
            <v>Yes</v>
          </cell>
          <cell r="H111" t="str">
            <v>Yes</v>
          </cell>
          <cell r="I111">
            <v>2</v>
          </cell>
          <cell r="J111">
            <v>2</v>
          </cell>
          <cell r="K111">
            <v>1</v>
          </cell>
          <cell r="L111">
            <v>1</v>
          </cell>
          <cell r="M111">
            <v>0</v>
          </cell>
          <cell r="N111">
            <v>0</v>
          </cell>
          <cell r="O111">
            <v>0</v>
          </cell>
          <cell r="P111">
            <v>0</v>
          </cell>
          <cell r="Q111">
            <v>0</v>
          </cell>
          <cell r="R111">
            <v>0</v>
          </cell>
          <cell r="S111">
            <v>0</v>
          </cell>
          <cell r="T111">
            <v>0</v>
          </cell>
          <cell r="U111" t="str">
            <v>wk-4</v>
          </cell>
        </row>
        <row r="112">
          <cell r="A112" t="str">
            <v>RMB-ACP-106</v>
          </cell>
          <cell r="B112" t="str">
            <v>&lt;NA&gt;</v>
          </cell>
          <cell r="C112" t="str">
            <v>P2</v>
          </cell>
          <cell r="D112" t="str">
            <v xml:space="preserve">, </v>
          </cell>
          <cell r="E112" t="str">
            <v>SoundWire</v>
          </cell>
          <cell r="F112" t="str">
            <v>Legacy</v>
          </cell>
          <cell r="G112" t="str">
            <v>Yes</v>
          </cell>
          <cell r="H112" t="str">
            <v>Yes</v>
          </cell>
          <cell r="I112">
            <v>1</v>
          </cell>
          <cell r="J112">
            <v>1</v>
          </cell>
          <cell r="K112">
            <v>1</v>
          </cell>
          <cell r="L112">
            <v>1</v>
          </cell>
          <cell r="M112">
            <v>0</v>
          </cell>
          <cell r="N112">
            <v>0</v>
          </cell>
          <cell r="O112">
            <v>0</v>
          </cell>
          <cell r="P112">
            <v>0</v>
          </cell>
          <cell r="Q112">
            <v>0</v>
          </cell>
          <cell r="R112">
            <v>0</v>
          </cell>
          <cell r="S112">
            <v>0</v>
          </cell>
          <cell r="T112">
            <v>0</v>
          </cell>
          <cell r="U112" t="str">
            <v>wk-4</v>
          </cell>
        </row>
        <row r="113">
          <cell r="A113" t="str">
            <v>RMB-ACP-107</v>
          </cell>
          <cell r="B113" t="str">
            <v>Soundwire all TX RX stream check</v>
          </cell>
          <cell r="C113" t="str">
            <v>P2</v>
          </cell>
          <cell r="D113" t="str">
            <v xml:space="preserve">, </v>
          </cell>
          <cell r="E113" t="str">
            <v>SoundWire</v>
          </cell>
          <cell r="F113" t="str">
            <v>Legacy</v>
          </cell>
          <cell r="G113" t="str">
            <v>Yes</v>
          </cell>
          <cell r="H113" t="str">
            <v>Yes</v>
          </cell>
          <cell r="I113">
            <v>1</v>
          </cell>
          <cell r="J113">
            <v>1</v>
          </cell>
          <cell r="K113">
            <v>1</v>
          </cell>
          <cell r="L113">
            <v>1</v>
          </cell>
          <cell r="M113">
            <v>0</v>
          </cell>
          <cell r="N113">
            <v>0</v>
          </cell>
          <cell r="O113">
            <v>0</v>
          </cell>
          <cell r="P113">
            <v>0</v>
          </cell>
          <cell r="Q113">
            <v>0</v>
          </cell>
          <cell r="R113">
            <v>0</v>
          </cell>
          <cell r="S113">
            <v>0</v>
          </cell>
          <cell r="T113">
            <v>0</v>
          </cell>
          <cell r="U113" t="str">
            <v>wk-4</v>
          </cell>
        </row>
        <row r="114">
          <cell r="A114" t="str">
            <v>RMB-ACP-108</v>
          </cell>
          <cell r="B114" t="str">
            <v>Soundwire audio corb check
Soundwire BT corb check
Soundwire HS corb check</v>
          </cell>
          <cell r="C114" t="str">
            <v>P2</v>
          </cell>
          <cell r="D114" t="str">
            <v xml:space="preserve">, , , </v>
          </cell>
          <cell r="E114" t="str">
            <v>SoundWire</v>
          </cell>
          <cell r="F114" t="str">
            <v>Legacy</v>
          </cell>
          <cell r="G114" t="str">
            <v>Yes</v>
          </cell>
          <cell r="H114" t="str">
            <v>Yes</v>
          </cell>
          <cell r="I114">
            <v>3</v>
          </cell>
          <cell r="J114">
            <v>3</v>
          </cell>
          <cell r="K114">
            <v>1</v>
          </cell>
          <cell r="L114">
            <v>1</v>
          </cell>
          <cell r="M114">
            <v>0</v>
          </cell>
          <cell r="N114">
            <v>0</v>
          </cell>
          <cell r="O114">
            <v>0</v>
          </cell>
          <cell r="P114">
            <v>0</v>
          </cell>
          <cell r="Q114">
            <v>0</v>
          </cell>
          <cell r="R114">
            <v>0</v>
          </cell>
          <cell r="S114">
            <v>0</v>
          </cell>
          <cell r="T114">
            <v>0</v>
          </cell>
          <cell r="U114" t="str">
            <v>wk-4</v>
          </cell>
        </row>
        <row r="115">
          <cell r="A115" t="str">
            <v>RMB-ACP-109</v>
          </cell>
          <cell r="B115" t="str">
            <v>PRBS error 
Command response error
Transmit-Receive error</v>
          </cell>
          <cell r="C115" t="str">
            <v>P2</v>
          </cell>
          <cell r="D115" t="str">
            <v xml:space="preserve">, , , </v>
          </cell>
          <cell r="E115" t="str">
            <v>SoundWire</v>
          </cell>
          <cell r="F115" t="str">
            <v>Legacy</v>
          </cell>
          <cell r="G115" t="str">
            <v>Yes</v>
          </cell>
          <cell r="H115" t="str">
            <v>Yes</v>
          </cell>
          <cell r="I115">
            <v>3</v>
          </cell>
          <cell r="J115">
            <v>3</v>
          </cell>
          <cell r="K115">
            <v>1</v>
          </cell>
          <cell r="L115">
            <v>1</v>
          </cell>
          <cell r="M115">
            <v>0</v>
          </cell>
          <cell r="N115">
            <v>0</v>
          </cell>
          <cell r="O115">
            <v>0</v>
          </cell>
          <cell r="P115">
            <v>0</v>
          </cell>
          <cell r="Q115">
            <v>0</v>
          </cell>
          <cell r="R115">
            <v>0</v>
          </cell>
          <cell r="S115">
            <v>0</v>
          </cell>
          <cell r="T115">
            <v>0</v>
          </cell>
          <cell r="U115" t="str">
            <v>wk-4</v>
          </cell>
        </row>
        <row r="116">
          <cell r="A116" t="str">
            <v>RMB-ACP-110</v>
          </cell>
          <cell r="B116" t="str">
            <v xml:space="preserve">Urgency DMA and Urgency interrupt features were added </v>
          </cell>
          <cell r="C116" t="str">
            <v>P2</v>
          </cell>
          <cell r="D116" t="str">
            <v xml:space="preserve">, </v>
          </cell>
          <cell r="E116" t="str">
            <v>Urgency interrupts</v>
          </cell>
          <cell r="F116" t="str">
            <v>Legacy</v>
          </cell>
          <cell r="G116" t="str">
            <v>Yes</v>
          </cell>
          <cell r="H116" t="str">
            <v>Yes</v>
          </cell>
          <cell r="I116">
            <v>1</v>
          </cell>
          <cell r="J116">
            <v>1</v>
          </cell>
          <cell r="K116">
            <v>1</v>
          </cell>
          <cell r="L116">
            <v>1</v>
          </cell>
          <cell r="M116">
            <v>0</v>
          </cell>
          <cell r="N116">
            <v>0</v>
          </cell>
          <cell r="O116">
            <v>0</v>
          </cell>
          <cell r="P116">
            <v>0</v>
          </cell>
          <cell r="Q116">
            <v>0</v>
          </cell>
          <cell r="R116">
            <v>0</v>
          </cell>
          <cell r="S116">
            <v>0</v>
          </cell>
          <cell r="T116">
            <v>0</v>
          </cell>
          <cell r="U116" t="str">
            <v>wk-4</v>
          </cell>
        </row>
        <row r="117">
          <cell r="A117" t="str">
            <v>RMB-ACP-111</v>
          </cell>
          <cell r="B117" t="str">
            <v>ACP Fusion DSP instruction set execute</v>
          </cell>
          <cell r="C117" t="str">
            <v>P2</v>
          </cell>
          <cell r="D117" t="str">
            <v xml:space="preserve">acpaz299, </v>
          </cell>
          <cell r="E117" t="str">
            <v>Fusion Test</v>
          </cell>
          <cell r="F117" t="str">
            <v>Delta</v>
          </cell>
          <cell r="G117" t="str">
            <v>Yes</v>
          </cell>
          <cell r="H117" t="str">
            <v>Yes</v>
          </cell>
          <cell r="I117">
            <v>1</v>
          </cell>
          <cell r="J117">
            <v>1</v>
          </cell>
          <cell r="K117">
            <v>1</v>
          </cell>
          <cell r="L117">
            <v>1</v>
          </cell>
          <cell r="M117">
            <v>1</v>
          </cell>
          <cell r="N117">
            <v>0</v>
          </cell>
          <cell r="O117">
            <v>0</v>
          </cell>
          <cell r="P117">
            <v>0</v>
          </cell>
          <cell r="Q117">
            <v>0</v>
          </cell>
          <cell r="R117">
            <v>0</v>
          </cell>
          <cell r="S117">
            <v>0</v>
          </cell>
          <cell r="T117">
            <v>0</v>
          </cell>
          <cell r="U117" t="str">
            <v>N/A</v>
          </cell>
        </row>
        <row r="118">
          <cell r="A118" t="str">
            <v>RMB-ACP-112</v>
          </cell>
          <cell r="B118" t="str">
            <v>Fusion IRAM Access</v>
          </cell>
          <cell r="C118" t="str">
            <v>P2</v>
          </cell>
          <cell r="D118" t="str">
            <v xml:space="preserve">acpaz201, </v>
          </cell>
          <cell r="E118" t="str">
            <v>Fusion Test</v>
          </cell>
          <cell r="F118" t="str">
            <v>Delta</v>
          </cell>
          <cell r="G118" t="str">
            <v>Yes</v>
          </cell>
          <cell r="H118" t="str">
            <v>Yes</v>
          </cell>
          <cell r="I118">
            <v>1</v>
          </cell>
          <cell r="J118">
            <v>10</v>
          </cell>
          <cell r="K118">
            <v>1</v>
          </cell>
          <cell r="L118">
            <v>1</v>
          </cell>
          <cell r="M118">
            <v>10</v>
          </cell>
          <cell r="N118">
            <v>10</v>
          </cell>
          <cell r="O118">
            <v>1</v>
          </cell>
          <cell r="P118">
            <v>0</v>
          </cell>
          <cell r="Q118">
            <v>0</v>
          </cell>
          <cell r="R118">
            <v>0</v>
          </cell>
          <cell r="S118">
            <v>0</v>
          </cell>
          <cell r="T118">
            <v>0</v>
          </cell>
          <cell r="U118" t="str">
            <v>N/A</v>
          </cell>
        </row>
        <row r="119">
          <cell r="A119" t="str">
            <v>RMB-ACP-113</v>
          </cell>
          <cell r="B119" t="str">
            <v>Fusion DRAM Access</v>
          </cell>
          <cell r="C119" t="str">
            <v>P2</v>
          </cell>
          <cell r="D119" t="str">
            <v xml:space="preserve">acpaz218.1-3, </v>
          </cell>
          <cell r="E119" t="str">
            <v>Fusion Test</v>
          </cell>
          <cell r="F119" t="str">
            <v>Delta</v>
          </cell>
          <cell r="G119" t="str">
            <v>Yes</v>
          </cell>
          <cell r="H119" t="str">
            <v>Yes</v>
          </cell>
          <cell r="I119">
            <v>1</v>
          </cell>
          <cell r="J119">
            <v>3</v>
          </cell>
          <cell r="K119">
            <v>1</v>
          </cell>
          <cell r="L119">
            <v>1</v>
          </cell>
          <cell r="M119">
            <v>3</v>
          </cell>
          <cell r="N119">
            <v>3</v>
          </cell>
          <cell r="O119">
            <v>1</v>
          </cell>
          <cell r="P119">
            <v>0</v>
          </cell>
          <cell r="Q119">
            <v>0</v>
          </cell>
          <cell r="R119">
            <v>0</v>
          </cell>
          <cell r="S119">
            <v>0</v>
          </cell>
          <cell r="T119">
            <v>0</v>
          </cell>
          <cell r="U119" t="str">
            <v>N/A</v>
          </cell>
        </row>
        <row r="120">
          <cell r="A120" t="str">
            <v>RMB-ACP-114</v>
          </cell>
          <cell r="B120" t="str">
            <v xml:space="preserve">FW image in system memory, need to use all cache windows </v>
          </cell>
          <cell r="C120" t="str">
            <v>P2</v>
          </cell>
          <cell r="D120" t="str">
            <v xml:space="preserve">acpaz219.1-3, </v>
          </cell>
          <cell r="E120" t="str">
            <v>Fusion Test</v>
          </cell>
          <cell r="F120" t="str">
            <v>Delta</v>
          </cell>
          <cell r="G120" t="str">
            <v>Yes</v>
          </cell>
          <cell r="H120" t="str">
            <v>Yes</v>
          </cell>
          <cell r="I120">
            <v>1</v>
          </cell>
          <cell r="J120">
            <v>3</v>
          </cell>
          <cell r="K120">
            <v>1</v>
          </cell>
          <cell r="L120">
            <v>1</v>
          </cell>
          <cell r="M120">
            <v>3</v>
          </cell>
          <cell r="N120">
            <v>3</v>
          </cell>
          <cell r="O120">
            <v>1</v>
          </cell>
          <cell r="P120">
            <v>0</v>
          </cell>
          <cell r="Q120">
            <v>0</v>
          </cell>
          <cell r="R120">
            <v>0</v>
          </cell>
          <cell r="S120">
            <v>0</v>
          </cell>
          <cell r="T120">
            <v>0</v>
          </cell>
          <cell r="U120" t="str">
            <v>N/A</v>
          </cell>
        </row>
        <row r="121">
          <cell r="A121" t="str">
            <v>RMB-ACP-115</v>
          </cell>
          <cell r="B121" t="str">
            <v>Firmware writes to dram/sram/syshub  parallel to IRAM</v>
          </cell>
          <cell r="C121" t="str">
            <v>P2</v>
          </cell>
          <cell r="D121" t="str">
            <v xml:space="preserve">acpaz220.1-7, </v>
          </cell>
          <cell r="E121" t="str">
            <v>Fusion Test</v>
          </cell>
          <cell r="F121" t="str">
            <v>Delta</v>
          </cell>
          <cell r="G121" t="str">
            <v>Yes</v>
          </cell>
          <cell r="H121" t="str">
            <v>Yes</v>
          </cell>
          <cell r="I121">
            <v>1</v>
          </cell>
          <cell r="J121">
            <v>3</v>
          </cell>
          <cell r="K121">
            <v>1</v>
          </cell>
          <cell r="L121">
            <v>1</v>
          </cell>
          <cell r="M121">
            <v>3</v>
          </cell>
          <cell r="N121">
            <v>3</v>
          </cell>
          <cell r="O121">
            <v>1</v>
          </cell>
          <cell r="P121">
            <v>0</v>
          </cell>
          <cell r="Q121">
            <v>0</v>
          </cell>
          <cell r="R121">
            <v>0</v>
          </cell>
          <cell r="S121">
            <v>0</v>
          </cell>
          <cell r="T121">
            <v>0</v>
          </cell>
          <cell r="U121" t="str">
            <v>N/A</v>
          </cell>
        </row>
        <row r="122">
          <cell r="A122" t="str">
            <v>RMB-ACP-116</v>
          </cell>
          <cell r="B122" t="str">
            <v>ESRAM access</v>
          </cell>
          <cell r="C122" t="str">
            <v>P2</v>
          </cell>
          <cell r="D122" t="str">
            <v xml:space="preserve">acpaz221.1-7, </v>
          </cell>
          <cell r="E122" t="str">
            <v>Fusion Test</v>
          </cell>
          <cell r="F122" t="str">
            <v>Delta</v>
          </cell>
          <cell r="G122" t="str">
            <v>Yes</v>
          </cell>
          <cell r="H122" t="str">
            <v>Yes</v>
          </cell>
          <cell r="I122">
            <v>1</v>
          </cell>
          <cell r="J122">
            <v>7</v>
          </cell>
          <cell r="K122">
            <v>1</v>
          </cell>
          <cell r="L122">
            <v>1</v>
          </cell>
          <cell r="M122">
            <v>7</v>
          </cell>
          <cell r="N122">
            <v>7</v>
          </cell>
          <cell r="O122">
            <v>1</v>
          </cell>
          <cell r="P122">
            <v>0</v>
          </cell>
          <cell r="Q122">
            <v>0</v>
          </cell>
          <cell r="R122">
            <v>0</v>
          </cell>
          <cell r="S122">
            <v>0</v>
          </cell>
          <cell r="T122">
            <v>0</v>
          </cell>
          <cell r="U122" t="str">
            <v>N/A</v>
          </cell>
        </row>
        <row r="123">
          <cell r="A123" t="str">
            <v>RMB-ACP-117</v>
          </cell>
          <cell r="B123" t="str">
            <v>Fusion DSP error access to different address space regions, data errors</v>
          </cell>
          <cell r="C123" t="str">
            <v>P2</v>
          </cell>
          <cell r="D123" t="str">
            <v xml:space="preserve">acpaz222.1-5, </v>
          </cell>
          <cell r="E123" t="str">
            <v>Fusion Test</v>
          </cell>
          <cell r="F123" t="str">
            <v>Delta</v>
          </cell>
          <cell r="G123" t="str">
            <v>Yes</v>
          </cell>
          <cell r="H123" t="str">
            <v>Yes</v>
          </cell>
          <cell r="I123">
            <v>1</v>
          </cell>
          <cell r="J123">
            <v>5</v>
          </cell>
          <cell r="K123">
            <v>1</v>
          </cell>
          <cell r="L123">
            <v>1</v>
          </cell>
          <cell r="M123">
            <v>5</v>
          </cell>
          <cell r="N123">
            <v>5</v>
          </cell>
          <cell r="O123">
            <v>1</v>
          </cell>
          <cell r="P123">
            <v>0</v>
          </cell>
          <cell r="Q123">
            <v>0</v>
          </cell>
          <cell r="R123">
            <v>0</v>
          </cell>
          <cell r="S123">
            <v>0</v>
          </cell>
          <cell r="T123">
            <v>0</v>
          </cell>
          <cell r="U123" t="str">
            <v>N/A</v>
          </cell>
        </row>
        <row r="124">
          <cell r="A124" t="str">
            <v>RMB-ACP-118</v>
          </cell>
          <cell r="B124" t="str">
            <v>Fusion DSP exception handler check</v>
          </cell>
          <cell r="C124" t="str">
            <v>P2</v>
          </cell>
          <cell r="D124" t="str">
            <v xml:space="preserve">acpaz224.1-6, </v>
          </cell>
          <cell r="E124" t="str">
            <v>Fusion Test</v>
          </cell>
          <cell r="F124" t="str">
            <v>Delta</v>
          </cell>
          <cell r="G124" t="str">
            <v>Yes</v>
          </cell>
          <cell r="H124" t="str">
            <v>Yes</v>
          </cell>
          <cell r="I124">
            <v>1</v>
          </cell>
          <cell r="J124">
            <v>6</v>
          </cell>
          <cell r="K124">
            <v>1</v>
          </cell>
          <cell r="L124">
            <v>1</v>
          </cell>
          <cell r="M124">
            <v>6</v>
          </cell>
          <cell r="N124">
            <v>6</v>
          </cell>
          <cell r="O124">
            <v>1</v>
          </cell>
          <cell r="P124">
            <v>0</v>
          </cell>
          <cell r="Q124">
            <v>0</v>
          </cell>
          <cell r="R124">
            <v>0</v>
          </cell>
          <cell r="S124">
            <v>0</v>
          </cell>
          <cell r="T124">
            <v>0</v>
          </cell>
          <cell r="U124" t="str">
            <v>N/A</v>
          </cell>
        </row>
        <row r="125">
          <cell r="A125" t="str">
            <v>RMB-ACP-119</v>
          </cell>
          <cell r="B125" t="str">
            <v>SHA DMA IDRAM Access</v>
          </cell>
          <cell r="C125" t="str">
            <v>P2</v>
          </cell>
          <cell r="D125" t="str">
            <v xml:space="preserve">acpaz225.1-14, </v>
          </cell>
          <cell r="E125" t="str">
            <v>Fusion Test</v>
          </cell>
          <cell r="F125" t="str">
            <v>Delta</v>
          </cell>
          <cell r="G125" t="str">
            <v>Yes</v>
          </cell>
          <cell r="H125" t="str">
            <v>Yes</v>
          </cell>
          <cell r="I125">
            <v>1</v>
          </cell>
          <cell r="J125">
            <v>14</v>
          </cell>
          <cell r="K125">
            <v>1</v>
          </cell>
          <cell r="L125">
            <v>1</v>
          </cell>
          <cell r="M125">
            <v>14</v>
          </cell>
          <cell r="N125">
            <v>14</v>
          </cell>
          <cell r="O125">
            <v>1</v>
          </cell>
          <cell r="P125">
            <v>0</v>
          </cell>
          <cell r="Q125">
            <v>0</v>
          </cell>
          <cell r="R125">
            <v>0</v>
          </cell>
          <cell r="S125">
            <v>0</v>
          </cell>
          <cell r="T125">
            <v>0</v>
          </cell>
          <cell r="U125" t="str">
            <v>N/A</v>
          </cell>
        </row>
        <row r="126">
          <cell r="A126" t="str">
            <v>RMB-ACP-120</v>
          </cell>
          <cell r="B126" t="str">
            <v>SHA DMA IDRAM Access</v>
          </cell>
          <cell r="C126" t="str">
            <v>P2</v>
          </cell>
          <cell r="D126" t="str">
            <v xml:space="preserve">acpaz226, </v>
          </cell>
          <cell r="E126" t="str">
            <v>Fusion Test</v>
          </cell>
          <cell r="F126" t="str">
            <v>Delta</v>
          </cell>
          <cell r="G126" t="str">
            <v>Yes</v>
          </cell>
          <cell r="H126" t="str">
            <v>Yes</v>
          </cell>
          <cell r="I126">
            <v>1</v>
          </cell>
          <cell r="J126">
            <v>1</v>
          </cell>
          <cell r="K126">
            <v>1</v>
          </cell>
          <cell r="L126">
            <v>1</v>
          </cell>
          <cell r="M126">
            <v>1</v>
          </cell>
          <cell r="N126">
            <v>1</v>
          </cell>
          <cell r="O126">
            <v>1</v>
          </cell>
          <cell r="P126">
            <v>0</v>
          </cell>
          <cell r="Q126">
            <v>0</v>
          </cell>
          <cell r="R126">
            <v>0</v>
          </cell>
          <cell r="S126">
            <v>0</v>
          </cell>
          <cell r="T126">
            <v>0</v>
          </cell>
          <cell r="U126" t="str">
            <v>N/A</v>
          </cell>
        </row>
        <row r="127">
          <cell r="A127" t="str">
            <v>RMB-ACP-121</v>
          </cell>
          <cell r="B127" t="str">
            <v>SHA Error Test</v>
          </cell>
          <cell r="C127" t="str">
            <v>P2</v>
          </cell>
          <cell r="D127" t="str">
            <v xml:space="preserve">acpaz227.1, </v>
          </cell>
          <cell r="E127" t="str">
            <v>Fusion Test</v>
          </cell>
          <cell r="F127" t="str">
            <v>Delta</v>
          </cell>
          <cell r="G127" t="str">
            <v>Yes</v>
          </cell>
          <cell r="H127" t="str">
            <v>Yes</v>
          </cell>
          <cell r="I127">
            <v>1</v>
          </cell>
          <cell r="J127">
            <v>1</v>
          </cell>
          <cell r="K127">
            <v>1</v>
          </cell>
          <cell r="L127">
            <v>1</v>
          </cell>
          <cell r="M127">
            <v>1</v>
          </cell>
          <cell r="N127">
            <v>1</v>
          </cell>
          <cell r="O127">
            <v>1</v>
          </cell>
          <cell r="P127">
            <v>0</v>
          </cell>
          <cell r="Q127">
            <v>0</v>
          </cell>
          <cell r="R127">
            <v>0</v>
          </cell>
          <cell r="S127">
            <v>0</v>
          </cell>
          <cell r="T127">
            <v>0</v>
          </cell>
          <cell r="U127" t="str">
            <v>N/A</v>
          </cell>
        </row>
        <row r="128">
          <cell r="A128" t="str">
            <v>RMB-ACP-122</v>
          </cell>
          <cell r="B128" t="str">
            <v>Internal DSP interrupt for debugging</v>
          </cell>
          <cell r="C128" t="str">
            <v>P2</v>
          </cell>
          <cell r="D128" t="str">
            <v xml:space="preserve">acpaz229.1-4, </v>
          </cell>
          <cell r="E128" t="str">
            <v>Fusion Test</v>
          </cell>
          <cell r="F128" t="str">
            <v>Delta</v>
          </cell>
          <cell r="G128" t="str">
            <v>Yes</v>
          </cell>
          <cell r="H128" t="str">
            <v>Yes</v>
          </cell>
          <cell r="I128">
            <v>1</v>
          </cell>
          <cell r="J128">
            <v>4</v>
          </cell>
          <cell r="K128">
            <v>1</v>
          </cell>
          <cell r="L128">
            <v>1</v>
          </cell>
          <cell r="M128">
            <v>4</v>
          </cell>
          <cell r="N128">
            <v>4</v>
          </cell>
          <cell r="O128">
            <v>1</v>
          </cell>
          <cell r="P128">
            <v>0</v>
          </cell>
          <cell r="Q128">
            <v>0</v>
          </cell>
          <cell r="R128">
            <v>0</v>
          </cell>
          <cell r="S128">
            <v>0</v>
          </cell>
          <cell r="T128">
            <v>0</v>
          </cell>
          <cell r="U128" t="str">
            <v>N/A</v>
          </cell>
        </row>
        <row r="129">
          <cell r="A129" t="str">
            <v>RMB-ACP-123</v>
          </cell>
          <cell r="B129" t="str">
            <v>Fusion Timer interrupt check</v>
          </cell>
          <cell r="C129" t="str">
            <v>P2</v>
          </cell>
          <cell r="D129" t="str">
            <v xml:space="preserve">acpaz230.1-5, </v>
          </cell>
          <cell r="E129" t="str">
            <v>Fusion Test</v>
          </cell>
          <cell r="F129" t="str">
            <v>Delta</v>
          </cell>
          <cell r="G129" t="str">
            <v>Yes</v>
          </cell>
          <cell r="H129" t="str">
            <v>Yes</v>
          </cell>
          <cell r="I129">
            <v>1</v>
          </cell>
          <cell r="J129">
            <v>5</v>
          </cell>
          <cell r="K129">
            <v>1</v>
          </cell>
          <cell r="L129">
            <v>1</v>
          </cell>
          <cell r="M129">
            <v>5</v>
          </cell>
          <cell r="N129">
            <v>5</v>
          </cell>
          <cell r="O129">
            <v>1</v>
          </cell>
          <cell r="P129">
            <v>0</v>
          </cell>
          <cell r="Q129">
            <v>0</v>
          </cell>
          <cell r="R129">
            <v>0</v>
          </cell>
          <cell r="S129">
            <v>0</v>
          </cell>
          <cell r="T129">
            <v>0</v>
          </cell>
          <cell r="U129" t="str">
            <v>N/A</v>
          </cell>
        </row>
        <row r="130">
          <cell r="A130"/>
          <cell r="B130"/>
          <cell r="C130"/>
          <cell r="D130"/>
          <cell r="E130"/>
          <cell r="F130"/>
          <cell r="G130"/>
          <cell r="H130"/>
          <cell r="I130"/>
          <cell r="J130"/>
          <cell r="K130"/>
          <cell r="L130"/>
          <cell r="M130"/>
          <cell r="N130"/>
          <cell r="O130"/>
          <cell r="P130"/>
          <cell r="Q130"/>
          <cell r="R130"/>
          <cell r="S130"/>
          <cell r="T130"/>
          <cell r="U130"/>
        </row>
        <row r="131">
          <cell r="A131"/>
          <cell r="B131"/>
          <cell r="C131"/>
          <cell r="D131"/>
          <cell r="E131"/>
          <cell r="F131"/>
          <cell r="G131"/>
          <cell r="H131"/>
          <cell r="I131"/>
          <cell r="J131"/>
          <cell r="K131"/>
          <cell r="L131"/>
          <cell r="M131"/>
          <cell r="N131"/>
          <cell r="O131"/>
          <cell r="P131"/>
          <cell r="Q131"/>
          <cell r="R131"/>
          <cell r="S131"/>
          <cell r="T131"/>
          <cell r="U131"/>
        </row>
        <row r="132">
          <cell r="A132"/>
          <cell r="B132"/>
          <cell r="C132"/>
          <cell r="D132"/>
          <cell r="E132"/>
          <cell r="F132"/>
          <cell r="G132"/>
          <cell r="H132"/>
          <cell r="I132"/>
          <cell r="J132"/>
          <cell r="K132"/>
          <cell r="L132"/>
          <cell r="M132"/>
          <cell r="N132"/>
          <cell r="O132"/>
          <cell r="P132"/>
          <cell r="Q132"/>
          <cell r="R132"/>
          <cell r="S132"/>
          <cell r="T132"/>
          <cell r="U132"/>
        </row>
        <row r="133">
          <cell r="A133" t="str">
            <v>PLEASE DO NOT CROSS THIS LINE.   Insert New Rows OR Copied Cells "Above" The Last Known Good Row Only So Each Copied Cells &amp; Rows Still Contains The Right Formulas (Similar Concept for Removing or Deleting Rows)</v>
          </cell>
          <cell r="B133"/>
          <cell r="C133"/>
          <cell r="D133"/>
          <cell r="E133"/>
          <cell r="F133"/>
          <cell r="G133"/>
          <cell r="H133"/>
          <cell r="I133"/>
          <cell r="J133"/>
          <cell r="K133"/>
          <cell r="L133"/>
          <cell r="M133"/>
          <cell r="N133"/>
          <cell r="O133"/>
          <cell r="P133"/>
          <cell r="Q133"/>
          <cell r="R133"/>
          <cell r="S133"/>
          <cell r="T133"/>
          <cell r="U133"/>
        </row>
        <row r="134">
          <cell r="A134"/>
          <cell r="B134"/>
          <cell r="C134"/>
          <cell r="D134"/>
          <cell r="E134"/>
          <cell r="F134"/>
          <cell r="G134"/>
          <cell r="H134"/>
          <cell r="I134"/>
          <cell r="J134"/>
          <cell r="K134"/>
          <cell r="L134"/>
          <cell r="M134"/>
          <cell r="N134"/>
          <cell r="O134"/>
          <cell r="P134"/>
          <cell r="Q134"/>
          <cell r="R134"/>
          <cell r="S134"/>
          <cell r="T134"/>
          <cell r="U134"/>
        </row>
        <row r="135">
          <cell r="A135" t="str">
            <v>Total Summary</v>
          </cell>
          <cell r="B135"/>
          <cell r="C135"/>
          <cell r="D135"/>
          <cell r="E135"/>
          <cell r="F135"/>
          <cell r="G135">
            <v>123</v>
          </cell>
          <cell r="H135">
            <v>122</v>
          </cell>
          <cell r="I135">
            <v>163</v>
          </cell>
          <cell r="J135">
            <v>1236</v>
          </cell>
          <cell r="K135">
            <v>1</v>
          </cell>
          <cell r="L135">
            <v>1</v>
          </cell>
          <cell r="M135">
            <v>966</v>
          </cell>
          <cell r="N135">
            <v>775</v>
          </cell>
          <cell r="O135">
            <v>0.8022774327122153</v>
          </cell>
          <cell r="P135">
            <v>0</v>
          </cell>
          <cell r="Q135">
            <v>0</v>
          </cell>
          <cell r="R135">
            <v>0</v>
          </cell>
          <cell r="S135">
            <v>0</v>
          </cell>
          <cell r="T135">
            <v>0</v>
          </cell>
          <cell r="U135"/>
        </row>
        <row r="136">
          <cell r="A136"/>
          <cell r="B136"/>
          <cell r="C136"/>
          <cell r="D136"/>
          <cell r="E136"/>
          <cell r="F136"/>
          <cell r="G136">
            <v>1</v>
          </cell>
          <cell r="H136">
            <v>0.99186991869918695</v>
          </cell>
          <cell r="I136"/>
          <cell r="J136"/>
          <cell r="K136"/>
          <cell r="L136"/>
          <cell r="M136"/>
          <cell r="N136"/>
          <cell r="O136"/>
          <cell r="P136"/>
          <cell r="Q136"/>
          <cell r="R136"/>
          <cell r="S136"/>
          <cell r="T136"/>
          <cell r="U136"/>
        </row>
        <row r="137">
          <cell r="A137"/>
          <cell r="B137"/>
          <cell r="C137"/>
          <cell r="D137"/>
          <cell r="E137"/>
          <cell r="F137"/>
          <cell r="G137"/>
          <cell r="H137"/>
          <cell r="I137"/>
          <cell r="J137"/>
          <cell r="K137"/>
          <cell r="L137"/>
          <cell r="M137"/>
          <cell r="N137"/>
          <cell r="O137"/>
          <cell r="P137"/>
          <cell r="Q137"/>
          <cell r="R137"/>
          <cell r="S137"/>
          <cell r="T137"/>
          <cell r="U137"/>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Cross-IP trackingHowTo"/>
      <sheetName val="Revision History"/>
      <sheetName val="Diags Raw Data"/>
      <sheetName val="Sub-IP Block Summary"/>
      <sheetName val="Feature Raw Data"/>
      <sheetName val="Feature Summary"/>
      <sheetName val="Progress (WIP)"/>
      <sheetName val="Progress"/>
      <sheetName val="Coverage Plan"/>
    </sheetNames>
    <sheetDataSet>
      <sheetData sheetId="0"/>
      <sheetData sheetId="1"/>
      <sheetData sheetId="2"/>
      <sheetData sheetId="3"/>
      <sheetData sheetId="4"/>
      <sheetData sheetId="5"/>
      <sheetData sheetId="6"/>
      <sheetData sheetId="7"/>
      <sheetData sheetId="8">
        <row r="7">
          <cell r="A7" t="str">
            <v>EX-FEAT-001</v>
          </cell>
          <cell r="B7" t="str">
            <v>Feature name - EX-FEAT-001</v>
          </cell>
          <cell r="C7" t="str">
            <v>P1</v>
          </cell>
          <cell r="D7" t="str">
            <v/>
          </cell>
          <cell r="E7" t="e">
            <v>#N/A</v>
          </cell>
          <cell r="F7" t="str">
            <v>Legacy</v>
          </cell>
          <cell r="G7" t="str">
            <v>No</v>
          </cell>
          <cell r="H7" t="str">
            <v>No</v>
          </cell>
          <cell r="I7">
            <v>0</v>
          </cell>
          <cell r="J7">
            <v>0</v>
          </cell>
          <cell r="K7">
            <v>0</v>
          </cell>
          <cell r="L7">
            <v>0</v>
          </cell>
          <cell r="M7">
            <v>0</v>
          </cell>
          <cell r="N7">
            <v>0</v>
          </cell>
          <cell r="O7">
            <v>0</v>
          </cell>
          <cell r="P7">
            <v>0</v>
          </cell>
          <cell r="Q7">
            <v>0</v>
          </cell>
          <cell r="R7">
            <v>0</v>
          </cell>
          <cell r="S7">
            <v>0</v>
          </cell>
          <cell r="T7">
            <v>0</v>
          </cell>
          <cell r="U7" t="str">
            <v>WK1</v>
          </cell>
        </row>
        <row r="8">
          <cell r="A8" t="str">
            <v>EX-FEAT-002</v>
          </cell>
          <cell r="B8" t="str">
            <v>Feature name - EX-FEAT-002</v>
          </cell>
          <cell r="C8" t="str">
            <v>P3</v>
          </cell>
          <cell r="D8" t="str">
            <v/>
          </cell>
          <cell r="E8" t="e">
            <v>#N/A</v>
          </cell>
          <cell r="F8" t="str">
            <v>Legacy</v>
          </cell>
          <cell r="G8" t="str">
            <v>No</v>
          </cell>
          <cell r="H8" t="str">
            <v>No</v>
          </cell>
          <cell r="I8">
            <v>0</v>
          </cell>
          <cell r="J8">
            <v>0</v>
          </cell>
          <cell r="K8">
            <v>0</v>
          </cell>
          <cell r="L8">
            <v>0</v>
          </cell>
          <cell r="M8">
            <v>0</v>
          </cell>
          <cell r="N8">
            <v>0</v>
          </cell>
          <cell r="O8">
            <v>0</v>
          </cell>
          <cell r="P8">
            <v>0</v>
          </cell>
          <cell r="Q8">
            <v>0</v>
          </cell>
          <cell r="R8">
            <v>0</v>
          </cell>
          <cell r="S8">
            <v>0</v>
          </cell>
          <cell r="T8">
            <v>0</v>
          </cell>
          <cell r="U8" t="str">
            <v>WK1</v>
          </cell>
        </row>
        <row r="9">
          <cell r="A9" t="str">
            <v>EX-FEAT-003</v>
          </cell>
          <cell r="B9" t="str">
            <v>Feature name - EX-FEAT-003</v>
          </cell>
          <cell r="C9" t="str">
            <v>P2</v>
          </cell>
          <cell r="D9" t="str">
            <v/>
          </cell>
          <cell r="E9" t="e">
            <v>#N/A</v>
          </cell>
          <cell r="F9" t="str">
            <v>Legacy</v>
          </cell>
          <cell r="G9" t="str">
            <v>No</v>
          </cell>
          <cell r="H9" t="str">
            <v>No</v>
          </cell>
          <cell r="I9">
            <v>0</v>
          </cell>
          <cell r="J9">
            <v>0</v>
          </cell>
          <cell r="K9">
            <v>0</v>
          </cell>
          <cell r="L9">
            <v>0</v>
          </cell>
          <cell r="M9">
            <v>0</v>
          </cell>
          <cell r="N9">
            <v>0</v>
          </cell>
          <cell r="O9">
            <v>0</v>
          </cell>
          <cell r="P9">
            <v>0</v>
          </cell>
          <cell r="Q9">
            <v>0</v>
          </cell>
          <cell r="R9">
            <v>0</v>
          </cell>
          <cell r="S9">
            <v>0</v>
          </cell>
          <cell r="T9">
            <v>0</v>
          </cell>
          <cell r="U9" t="str">
            <v>WK2</v>
          </cell>
        </row>
        <row r="10">
          <cell r="A10" t="str">
            <v>EX-FEAT-004</v>
          </cell>
          <cell r="B10" t="str">
            <v>Feature name - EX-FEAT-004</v>
          </cell>
          <cell r="C10" t="str">
            <v>P1</v>
          </cell>
          <cell r="D10" t="str">
            <v/>
          </cell>
          <cell r="E10" t="e">
            <v>#N/A</v>
          </cell>
          <cell r="F10" t="str">
            <v>Legacy</v>
          </cell>
          <cell r="G10" t="str">
            <v>No</v>
          </cell>
          <cell r="H10" t="str">
            <v>No</v>
          </cell>
          <cell r="I10">
            <v>0</v>
          </cell>
          <cell r="J10">
            <v>0</v>
          </cell>
          <cell r="K10">
            <v>0</v>
          </cell>
          <cell r="L10">
            <v>0</v>
          </cell>
          <cell r="M10">
            <v>0</v>
          </cell>
          <cell r="N10">
            <v>0</v>
          </cell>
          <cell r="O10">
            <v>0</v>
          </cell>
          <cell r="P10">
            <v>0</v>
          </cell>
          <cell r="Q10">
            <v>0</v>
          </cell>
          <cell r="R10">
            <v>0</v>
          </cell>
          <cell r="S10">
            <v>0</v>
          </cell>
          <cell r="T10">
            <v>0</v>
          </cell>
          <cell r="U10" t="str">
            <v>WK3</v>
          </cell>
        </row>
        <row r="11">
          <cell r="A11" t="str">
            <v>EX-FEAT-005</v>
          </cell>
          <cell r="B11" t="str">
            <v>Feature name - EX-FEAT-005</v>
          </cell>
          <cell r="C11" t="str">
            <v>P1</v>
          </cell>
          <cell r="D11" t="str">
            <v/>
          </cell>
          <cell r="E11" t="e">
            <v>#N/A</v>
          </cell>
          <cell r="F11" t="str">
            <v>Legacy</v>
          </cell>
          <cell r="G11" t="str">
            <v>No</v>
          </cell>
          <cell r="H11" t="str">
            <v>No</v>
          </cell>
          <cell r="I11">
            <v>0</v>
          </cell>
          <cell r="J11">
            <v>0</v>
          </cell>
          <cell r="K11">
            <v>0</v>
          </cell>
          <cell r="L11">
            <v>0</v>
          </cell>
          <cell r="M11">
            <v>0</v>
          </cell>
          <cell r="N11">
            <v>0</v>
          </cell>
          <cell r="O11">
            <v>0</v>
          </cell>
          <cell r="P11">
            <v>0</v>
          </cell>
          <cell r="Q11">
            <v>0</v>
          </cell>
          <cell r="R11">
            <v>0</v>
          </cell>
          <cell r="S11">
            <v>0</v>
          </cell>
          <cell r="T11">
            <v>0</v>
          </cell>
          <cell r="U11" t="str">
            <v>WK4</v>
          </cell>
        </row>
        <row r="12">
          <cell r="A12" t="str">
            <v>EX-FEAT-006</v>
          </cell>
          <cell r="B12" t="str">
            <v>Feature name - EX-FEAT-006</v>
          </cell>
          <cell r="C12" t="str">
            <v>P1</v>
          </cell>
          <cell r="D12" t="str">
            <v/>
          </cell>
          <cell r="E12" t="e">
            <v>#N/A</v>
          </cell>
          <cell r="F12" t="str">
            <v>Legacy</v>
          </cell>
          <cell r="G12" t="str">
            <v>No</v>
          </cell>
          <cell r="H12" t="str">
            <v>No</v>
          </cell>
          <cell r="I12">
            <v>0</v>
          </cell>
          <cell r="J12">
            <v>0</v>
          </cell>
          <cell r="K12">
            <v>0</v>
          </cell>
          <cell r="L12">
            <v>0</v>
          </cell>
          <cell r="M12">
            <v>0</v>
          </cell>
          <cell r="N12">
            <v>0</v>
          </cell>
          <cell r="O12">
            <v>0</v>
          </cell>
          <cell r="P12">
            <v>0</v>
          </cell>
          <cell r="Q12">
            <v>0</v>
          </cell>
          <cell r="R12">
            <v>0</v>
          </cell>
          <cell r="S12">
            <v>0</v>
          </cell>
          <cell r="T12">
            <v>0</v>
          </cell>
          <cell r="U12" t="str">
            <v>WK1</v>
          </cell>
        </row>
        <row r="13">
          <cell r="A13" t="str">
            <v>EX-FEAT-007</v>
          </cell>
          <cell r="B13" t="str">
            <v>Feature name - EX-FEAT-007</v>
          </cell>
          <cell r="C13" t="str">
            <v>P3</v>
          </cell>
          <cell r="D13" t="str">
            <v/>
          </cell>
          <cell r="E13" t="e">
            <v>#N/A</v>
          </cell>
          <cell r="F13" t="str">
            <v>Legacy</v>
          </cell>
          <cell r="G13" t="str">
            <v>No</v>
          </cell>
          <cell r="H13" t="str">
            <v>No</v>
          </cell>
          <cell r="I13">
            <v>0</v>
          </cell>
          <cell r="J13">
            <v>0</v>
          </cell>
          <cell r="K13">
            <v>0</v>
          </cell>
          <cell r="L13">
            <v>0</v>
          </cell>
          <cell r="M13">
            <v>0</v>
          </cell>
          <cell r="N13">
            <v>0</v>
          </cell>
          <cell r="O13">
            <v>0</v>
          </cell>
          <cell r="P13">
            <v>0</v>
          </cell>
          <cell r="Q13">
            <v>0</v>
          </cell>
          <cell r="R13">
            <v>0</v>
          </cell>
          <cell r="S13">
            <v>0</v>
          </cell>
          <cell r="T13">
            <v>0</v>
          </cell>
          <cell r="U13" t="str">
            <v>N/A</v>
          </cell>
        </row>
        <row r="14">
          <cell r="A14" t="str">
            <v>EX-FEAT-008</v>
          </cell>
          <cell r="B14" t="str">
            <v>Feature name - EX-FEAT-008</v>
          </cell>
          <cell r="C14" t="str">
            <v>P3</v>
          </cell>
          <cell r="D14" t="str">
            <v/>
          </cell>
          <cell r="E14" t="e">
            <v>#N/A</v>
          </cell>
          <cell r="F14" t="str">
            <v>Legacy</v>
          </cell>
          <cell r="G14" t="str">
            <v>No</v>
          </cell>
          <cell r="H14" t="str">
            <v>No</v>
          </cell>
          <cell r="I14">
            <v>0</v>
          </cell>
          <cell r="J14">
            <v>0</v>
          </cell>
          <cell r="K14">
            <v>0</v>
          </cell>
          <cell r="L14">
            <v>0</v>
          </cell>
          <cell r="M14">
            <v>0</v>
          </cell>
          <cell r="N14">
            <v>0</v>
          </cell>
          <cell r="O14">
            <v>0</v>
          </cell>
          <cell r="P14">
            <v>0</v>
          </cell>
          <cell r="Q14">
            <v>0</v>
          </cell>
          <cell r="R14">
            <v>0</v>
          </cell>
          <cell r="S14">
            <v>0</v>
          </cell>
          <cell r="T14">
            <v>0</v>
          </cell>
          <cell r="U14" t="str">
            <v>WK2</v>
          </cell>
        </row>
        <row r="15">
          <cell r="A15" t="str">
            <v>EX-FEAT-009</v>
          </cell>
          <cell r="B15" t="str">
            <v>Feature name - EX-FEAT-009</v>
          </cell>
          <cell r="C15" t="str">
            <v>P2</v>
          </cell>
          <cell r="D15" t="str">
            <v/>
          </cell>
          <cell r="E15" t="e">
            <v>#N/A</v>
          </cell>
          <cell r="F15" t="str">
            <v>Legacy</v>
          </cell>
          <cell r="G15" t="str">
            <v>No</v>
          </cell>
          <cell r="H15" t="str">
            <v>No</v>
          </cell>
          <cell r="I15">
            <v>0</v>
          </cell>
          <cell r="J15">
            <v>0</v>
          </cell>
          <cell r="K15">
            <v>0</v>
          </cell>
          <cell r="L15">
            <v>0</v>
          </cell>
          <cell r="M15">
            <v>0</v>
          </cell>
          <cell r="N15">
            <v>0</v>
          </cell>
          <cell r="O15">
            <v>0</v>
          </cell>
          <cell r="P15">
            <v>0</v>
          </cell>
          <cell r="Q15">
            <v>0</v>
          </cell>
          <cell r="R15">
            <v>0</v>
          </cell>
          <cell r="S15">
            <v>0</v>
          </cell>
          <cell r="T15">
            <v>0</v>
          </cell>
          <cell r="U15" t="str">
            <v>WK2</v>
          </cell>
        </row>
        <row r="16">
          <cell r="A16" t="str">
            <v>EX-FEAT-010</v>
          </cell>
          <cell r="B16" t="str">
            <v>Feature name - EX-FEAT-010</v>
          </cell>
          <cell r="C16" t="str">
            <v>P2</v>
          </cell>
          <cell r="D16" t="str">
            <v/>
          </cell>
          <cell r="E16" t="e">
            <v>#N/A</v>
          </cell>
          <cell r="F16" t="str">
            <v>Legacy</v>
          </cell>
          <cell r="G16" t="str">
            <v>No</v>
          </cell>
          <cell r="H16" t="str">
            <v>No</v>
          </cell>
          <cell r="I16">
            <v>0</v>
          </cell>
          <cell r="J16">
            <v>0</v>
          </cell>
          <cell r="K16">
            <v>0</v>
          </cell>
          <cell r="L16">
            <v>0</v>
          </cell>
          <cell r="M16">
            <v>0</v>
          </cell>
          <cell r="N16">
            <v>0</v>
          </cell>
          <cell r="O16">
            <v>0</v>
          </cell>
          <cell r="P16">
            <v>0</v>
          </cell>
          <cell r="Q16">
            <v>0</v>
          </cell>
          <cell r="R16">
            <v>0</v>
          </cell>
          <cell r="S16">
            <v>0</v>
          </cell>
          <cell r="T16">
            <v>0</v>
          </cell>
          <cell r="U16" t="str">
            <v>WK2</v>
          </cell>
        </row>
        <row r="17">
          <cell r="A17" t="str">
            <v>EX-FEAT-011</v>
          </cell>
          <cell r="B17" t="str">
            <v>Feature name - EX-FEAT-011</v>
          </cell>
          <cell r="C17" t="str">
            <v>P2</v>
          </cell>
          <cell r="D17" t="str">
            <v/>
          </cell>
          <cell r="E17" t="e">
            <v>#N/A</v>
          </cell>
          <cell r="F17" t="str">
            <v>Legacy</v>
          </cell>
          <cell r="G17" t="str">
            <v>No</v>
          </cell>
          <cell r="H17" t="str">
            <v>No</v>
          </cell>
          <cell r="I17">
            <v>0</v>
          </cell>
          <cell r="J17">
            <v>0</v>
          </cell>
          <cell r="K17">
            <v>0</v>
          </cell>
          <cell r="L17">
            <v>0</v>
          </cell>
          <cell r="M17">
            <v>0</v>
          </cell>
          <cell r="N17">
            <v>0</v>
          </cell>
          <cell r="O17">
            <v>0</v>
          </cell>
          <cell r="P17">
            <v>0</v>
          </cell>
          <cell r="Q17">
            <v>0</v>
          </cell>
          <cell r="R17">
            <v>0</v>
          </cell>
          <cell r="S17">
            <v>0</v>
          </cell>
          <cell r="T17">
            <v>0</v>
          </cell>
          <cell r="U17" t="str">
            <v>WK3</v>
          </cell>
        </row>
        <row r="18">
          <cell r="A18" t="str">
            <v>EX-FEAT-012</v>
          </cell>
          <cell r="B18" t="str">
            <v>Feature name - EX-FEAT-012</v>
          </cell>
          <cell r="C18" t="str">
            <v>P1</v>
          </cell>
          <cell r="D18" t="str">
            <v/>
          </cell>
          <cell r="E18" t="e">
            <v>#N/A</v>
          </cell>
          <cell r="F18" t="str">
            <v>Legacy</v>
          </cell>
          <cell r="G18" t="str">
            <v>No</v>
          </cell>
          <cell r="H18" t="str">
            <v>No</v>
          </cell>
          <cell r="I18">
            <v>0</v>
          </cell>
          <cell r="J18">
            <v>0</v>
          </cell>
          <cell r="K18">
            <v>0</v>
          </cell>
          <cell r="L18">
            <v>0</v>
          </cell>
          <cell r="M18">
            <v>0</v>
          </cell>
          <cell r="N18">
            <v>0</v>
          </cell>
          <cell r="O18">
            <v>0</v>
          </cell>
          <cell r="P18">
            <v>0</v>
          </cell>
          <cell r="Q18">
            <v>0</v>
          </cell>
          <cell r="R18">
            <v>0</v>
          </cell>
          <cell r="S18">
            <v>0</v>
          </cell>
          <cell r="T18">
            <v>0</v>
          </cell>
          <cell r="U18" t="str">
            <v>N/A</v>
          </cell>
        </row>
        <row r="19">
          <cell r="A19" t="str">
            <v>EX-FEAT-013</v>
          </cell>
          <cell r="B19" t="str">
            <v>Feature name - EX-FEAT-013</v>
          </cell>
          <cell r="C19" t="str">
            <v>P1</v>
          </cell>
          <cell r="D19" t="str">
            <v/>
          </cell>
          <cell r="E19" t="e">
            <v>#N/A</v>
          </cell>
          <cell r="F19" t="str">
            <v>Legacy</v>
          </cell>
          <cell r="G19" t="str">
            <v>No</v>
          </cell>
          <cell r="H19" t="str">
            <v>No</v>
          </cell>
          <cell r="I19">
            <v>0</v>
          </cell>
          <cell r="J19">
            <v>0</v>
          </cell>
          <cell r="K19">
            <v>0</v>
          </cell>
          <cell r="L19">
            <v>0</v>
          </cell>
          <cell r="M19">
            <v>0</v>
          </cell>
          <cell r="N19">
            <v>0</v>
          </cell>
          <cell r="O19">
            <v>0</v>
          </cell>
          <cell r="P19">
            <v>0</v>
          </cell>
          <cell r="Q19">
            <v>0</v>
          </cell>
          <cell r="R19">
            <v>0</v>
          </cell>
          <cell r="S19">
            <v>0</v>
          </cell>
          <cell r="T19">
            <v>0</v>
          </cell>
          <cell r="U19" t="str">
            <v>N/A</v>
          </cell>
        </row>
        <row r="20">
          <cell r="A20" t="str">
            <v>EX-FEAT-014</v>
          </cell>
          <cell r="B20" t="str">
            <v>Feature name - EX-FEAT-014</v>
          </cell>
          <cell r="C20" t="str">
            <v>P2</v>
          </cell>
          <cell r="D20" t="str">
            <v/>
          </cell>
          <cell r="E20" t="e">
            <v>#N/A</v>
          </cell>
          <cell r="F20" t="str">
            <v>Legacy</v>
          </cell>
          <cell r="G20" t="str">
            <v>No</v>
          </cell>
          <cell r="H20" t="str">
            <v>No</v>
          </cell>
          <cell r="I20">
            <v>0</v>
          </cell>
          <cell r="J20">
            <v>0</v>
          </cell>
          <cell r="K20">
            <v>0</v>
          </cell>
          <cell r="L20">
            <v>0</v>
          </cell>
          <cell r="M20">
            <v>0</v>
          </cell>
          <cell r="N20">
            <v>0</v>
          </cell>
          <cell r="O20">
            <v>0</v>
          </cell>
          <cell r="P20">
            <v>0</v>
          </cell>
          <cell r="Q20">
            <v>0</v>
          </cell>
          <cell r="R20">
            <v>0</v>
          </cell>
          <cell r="S20">
            <v>0</v>
          </cell>
          <cell r="T20">
            <v>0</v>
          </cell>
          <cell r="U20" t="str">
            <v>N/A</v>
          </cell>
        </row>
        <row r="21">
          <cell r="A21" t="str">
            <v>EX-FEAT-015</v>
          </cell>
          <cell r="B21" t="str">
            <v>Feature name - EX-FEAT-015</v>
          </cell>
          <cell r="C21" t="str">
            <v>P1</v>
          </cell>
          <cell r="D21" t="str">
            <v/>
          </cell>
          <cell r="E21" t="e">
            <v>#N/A</v>
          </cell>
          <cell r="F21" t="str">
            <v>Legacy</v>
          </cell>
          <cell r="G21" t="str">
            <v>No</v>
          </cell>
          <cell r="H21" t="str">
            <v>No</v>
          </cell>
          <cell r="I21">
            <v>0</v>
          </cell>
          <cell r="J21">
            <v>0</v>
          </cell>
          <cell r="K21">
            <v>0</v>
          </cell>
          <cell r="L21">
            <v>0</v>
          </cell>
          <cell r="M21">
            <v>0</v>
          </cell>
          <cell r="N21">
            <v>0</v>
          </cell>
          <cell r="O21">
            <v>0</v>
          </cell>
          <cell r="P21">
            <v>0</v>
          </cell>
          <cell r="Q21">
            <v>0</v>
          </cell>
          <cell r="R21">
            <v>0</v>
          </cell>
          <cell r="S21">
            <v>0</v>
          </cell>
          <cell r="T21">
            <v>0</v>
          </cell>
          <cell r="U21" t="str">
            <v>N/A</v>
          </cell>
        </row>
        <row r="22">
          <cell r="A22" t="str">
            <v>EX-FEAT-016</v>
          </cell>
          <cell r="B22" t="str">
            <v>Feature name - EX-FEAT-016</v>
          </cell>
          <cell r="C22" t="str">
            <v>P2</v>
          </cell>
          <cell r="D22" t="str">
            <v/>
          </cell>
          <cell r="E22" t="e">
            <v>#N/A</v>
          </cell>
          <cell r="F22" t="str">
            <v>Legacy</v>
          </cell>
          <cell r="G22" t="str">
            <v>No</v>
          </cell>
          <cell r="H22" t="str">
            <v>No</v>
          </cell>
          <cell r="I22">
            <v>0</v>
          </cell>
          <cell r="J22">
            <v>0</v>
          </cell>
          <cell r="K22">
            <v>0</v>
          </cell>
          <cell r="L22">
            <v>0</v>
          </cell>
          <cell r="M22">
            <v>0</v>
          </cell>
          <cell r="N22">
            <v>0</v>
          </cell>
          <cell r="O22">
            <v>0</v>
          </cell>
          <cell r="P22">
            <v>0</v>
          </cell>
          <cell r="Q22">
            <v>0</v>
          </cell>
          <cell r="R22">
            <v>0</v>
          </cell>
          <cell r="S22">
            <v>0</v>
          </cell>
          <cell r="T22">
            <v>0</v>
          </cell>
          <cell r="U22" t="str">
            <v>N/A</v>
          </cell>
        </row>
        <row r="23">
          <cell r="A23" t="str">
            <v>EX-FEAT-017</v>
          </cell>
          <cell r="B23" t="str">
            <v>Feature name - EX-FEAT-017</v>
          </cell>
          <cell r="C23" t="str">
            <v>P1</v>
          </cell>
          <cell r="D23" t="str">
            <v/>
          </cell>
          <cell r="E23" t="e">
            <v>#N/A</v>
          </cell>
          <cell r="F23" t="str">
            <v>Legacy</v>
          </cell>
          <cell r="G23" t="str">
            <v>No</v>
          </cell>
          <cell r="H23" t="str">
            <v>No</v>
          </cell>
          <cell r="I23">
            <v>0</v>
          </cell>
          <cell r="J23">
            <v>0</v>
          </cell>
          <cell r="K23">
            <v>0</v>
          </cell>
          <cell r="L23">
            <v>0</v>
          </cell>
          <cell r="M23">
            <v>0</v>
          </cell>
          <cell r="N23">
            <v>0</v>
          </cell>
          <cell r="O23">
            <v>0</v>
          </cell>
          <cell r="P23">
            <v>0</v>
          </cell>
          <cell r="Q23">
            <v>0</v>
          </cell>
          <cell r="R23">
            <v>0</v>
          </cell>
          <cell r="S23">
            <v>0</v>
          </cell>
          <cell r="T23">
            <v>0</v>
          </cell>
          <cell r="U23" t="str">
            <v>WK3</v>
          </cell>
        </row>
        <row r="24">
          <cell r="A24" t="str">
            <v>EX-FEAT-018</v>
          </cell>
          <cell r="B24" t="str">
            <v>Feature name - EX-FEAT-018</v>
          </cell>
          <cell r="C24" t="str">
            <v>P3</v>
          </cell>
          <cell r="D24" t="str">
            <v/>
          </cell>
          <cell r="E24" t="e">
            <v>#N/A</v>
          </cell>
          <cell r="F24" t="str">
            <v>New</v>
          </cell>
          <cell r="G24" t="str">
            <v>No</v>
          </cell>
          <cell r="H24" t="str">
            <v>No</v>
          </cell>
          <cell r="I24">
            <v>0</v>
          </cell>
          <cell r="J24">
            <v>0</v>
          </cell>
          <cell r="K24">
            <v>0</v>
          </cell>
          <cell r="L24">
            <v>0</v>
          </cell>
          <cell r="M24">
            <v>0</v>
          </cell>
          <cell r="N24">
            <v>0</v>
          </cell>
          <cell r="O24">
            <v>0</v>
          </cell>
          <cell r="P24">
            <v>0</v>
          </cell>
          <cell r="Q24">
            <v>0</v>
          </cell>
          <cell r="R24">
            <v>0</v>
          </cell>
          <cell r="S24">
            <v>0</v>
          </cell>
          <cell r="T24">
            <v>0</v>
          </cell>
          <cell r="U24" t="str">
            <v>WK5</v>
          </cell>
        </row>
        <row r="25">
          <cell r="A25" t="str">
            <v>EX-FEAT-019</v>
          </cell>
          <cell r="B25" t="str">
            <v>Feature name - EX-FEAT-019</v>
          </cell>
          <cell r="C25" t="str">
            <v>P3</v>
          </cell>
          <cell r="D25" t="str">
            <v/>
          </cell>
          <cell r="E25" t="e">
            <v>#N/A</v>
          </cell>
          <cell r="F25" t="str">
            <v>New</v>
          </cell>
          <cell r="G25" t="str">
            <v>No</v>
          </cell>
          <cell r="H25" t="str">
            <v>No</v>
          </cell>
          <cell r="I25">
            <v>0</v>
          </cell>
          <cell r="J25">
            <v>0</v>
          </cell>
          <cell r="K25">
            <v>0</v>
          </cell>
          <cell r="L25">
            <v>0</v>
          </cell>
          <cell r="M25">
            <v>0</v>
          </cell>
          <cell r="N25">
            <v>0</v>
          </cell>
          <cell r="O25">
            <v>0</v>
          </cell>
          <cell r="P25">
            <v>0</v>
          </cell>
          <cell r="Q25">
            <v>0</v>
          </cell>
          <cell r="R25">
            <v>0</v>
          </cell>
          <cell r="S25">
            <v>0</v>
          </cell>
          <cell r="T25">
            <v>0</v>
          </cell>
          <cell r="U25" t="str">
            <v>WK6</v>
          </cell>
        </row>
        <row r="26">
          <cell r="A26" t="str">
            <v>EX-FEAT-020</v>
          </cell>
          <cell r="B26" t="str">
            <v>Feature name - EX-FEAT-020</v>
          </cell>
          <cell r="C26" t="str">
            <v>P3</v>
          </cell>
          <cell r="D26" t="str">
            <v/>
          </cell>
          <cell r="E26" t="e">
            <v>#N/A</v>
          </cell>
          <cell r="F26" t="str">
            <v>New</v>
          </cell>
          <cell r="G26" t="str">
            <v>No</v>
          </cell>
          <cell r="H26" t="str">
            <v>No</v>
          </cell>
          <cell r="I26">
            <v>0</v>
          </cell>
          <cell r="J26">
            <v>0</v>
          </cell>
          <cell r="K26">
            <v>0</v>
          </cell>
          <cell r="L26">
            <v>0</v>
          </cell>
          <cell r="M26">
            <v>0</v>
          </cell>
          <cell r="N26">
            <v>0</v>
          </cell>
          <cell r="O26">
            <v>0</v>
          </cell>
          <cell r="P26">
            <v>0</v>
          </cell>
          <cell r="Q26">
            <v>0</v>
          </cell>
          <cell r="R26">
            <v>0</v>
          </cell>
          <cell r="S26">
            <v>0</v>
          </cell>
          <cell r="T26">
            <v>0</v>
          </cell>
          <cell r="U26" t="str">
            <v>WK6</v>
          </cell>
        </row>
        <row r="27">
          <cell r="A27" t="str">
            <v>EX-FEAT-021</v>
          </cell>
          <cell r="B27" t="str">
            <v>Feature name - EX-FEAT-021</v>
          </cell>
          <cell r="C27" t="str">
            <v>P3</v>
          </cell>
          <cell r="D27" t="str">
            <v/>
          </cell>
          <cell r="E27" t="e">
            <v>#N/A</v>
          </cell>
          <cell r="F27" t="str">
            <v>Legacy</v>
          </cell>
          <cell r="G27" t="str">
            <v>No</v>
          </cell>
          <cell r="H27" t="str">
            <v>No</v>
          </cell>
          <cell r="I27">
            <v>0</v>
          </cell>
          <cell r="J27">
            <v>0</v>
          </cell>
          <cell r="K27">
            <v>0</v>
          </cell>
          <cell r="L27">
            <v>0</v>
          </cell>
          <cell r="M27">
            <v>0</v>
          </cell>
          <cell r="N27">
            <v>0</v>
          </cell>
          <cell r="O27">
            <v>0</v>
          </cell>
          <cell r="P27">
            <v>0</v>
          </cell>
          <cell r="Q27">
            <v>0</v>
          </cell>
          <cell r="R27">
            <v>0</v>
          </cell>
          <cell r="S27">
            <v>0</v>
          </cell>
          <cell r="T27">
            <v>0</v>
          </cell>
          <cell r="U27" t="str">
            <v>WK4</v>
          </cell>
        </row>
        <row r="28">
          <cell r="A28" t="str">
            <v>EX-FEAT-022</v>
          </cell>
          <cell r="B28" t="str">
            <v>Feature name - EX-FEAT-022</v>
          </cell>
          <cell r="C28" t="str">
            <v>P2</v>
          </cell>
          <cell r="D28" t="str">
            <v/>
          </cell>
          <cell r="E28" t="e">
            <v>#N/A</v>
          </cell>
          <cell r="F28" t="str">
            <v>New</v>
          </cell>
          <cell r="G28" t="str">
            <v>No</v>
          </cell>
          <cell r="H28" t="str">
            <v>No</v>
          </cell>
          <cell r="I28">
            <v>0</v>
          </cell>
          <cell r="J28">
            <v>0</v>
          </cell>
          <cell r="K28">
            <v>0</v>
          </cell>
          <cell r="L28">
            <v>0</v>
          </cell>
          <cell r="M28">
            <v>0</v>
          </cell>
          <cell r="N28">
            <v>0</v>
          </cell>
          <cell r="O28">
            <v>0</v>
          </cell>
          <cell r="P28">
            <v>0</v>
          </cell>
          <cell r="Q28">
            <v>0</v>
          </cell>
          <cell r="R28">
            <v>0</v>
          </cell>
          <cell r="S28">
            <v>0</v>
          </cell>
          <cell r="T28">
            <v>0</v>
          </cell>
          <cell r="U28" t="str">
            <v>WK3</v>
          </cell>
        </row>
        <row r="29">
          <cell r="A29" t="str">
            <v>EX-FEAT-023</v>
          </cell>
          <cell r="B29" t="str">
            <v>Feature name - EX-FEAT-023</v>
          </cell>
          <cell r="C29" t="str">
            <v>P2</v>
          </cell>
          <cell r="D29" t="str">
            <v/>
          </cell>
          <cell r="E29" t="e">
            <v>#N/A</v>
          </cell>
          <cell r="F29" t="str">
            <v>New</v>
          </cell>
          <cell r="G29" t="str">
            <v>No</v>
          </cell>
          <cell r="H29" t="str">
            <v>No</v>
          </cell>
          <cell r="I29">
            <v>0</v>
          </cell>
          <cell r="J29">
            <v>0</v>
          </cell>
          <cell r="K29">
            <v>0</v>
          </cell>
          <cell r="L29">
            <v>0</v>
          </cell>
          <cell r="M29">
            <v>0</v>
          </cell>
          <cell r="N29">
            <v>0</v>
          </cell>
          <cell r="O29">
            <v>0</v>
          </cell>
          <cell r="P29">
            <v>0</v>
          </cell>
          <cell r="Q29">
            <v>0</v>
          </cell>
          <cell r="R29">
            <v>0</v>
          </cell>
          <cell r="S29">
            <v>0</v>
          </cell>
          <cell r="T29">
            <v>0</v>
          </cell>
          <cell r="U29" t="str">
            <v>WK3</v>
          </cell>
        </row>
        <row r="30">
          <cell r="A30" t="str">
            <v>EX-FEAT-024</v>
          </cell>
          <cell r="B30" t="str">
            <v>Feature name - EX-FEAT-024</v>
          </cell>
          <cell r="C30" t="str">
            <v>P1</v>
          </cell>
          <cell r="D30" t="str">
            <v/>
          </cell>
          <cell r="E30" t="e">
            <v>#N/A</v>
          </cell>
          <cell r="F30" t="str">
            <v>Legacy</v>
          </cell>
          <cell r="G30" t="str">
            <v>No</v>
          </cell>
          <cell r="H30" t="str">
            <v>No</v>
          </cell>
          <cell r="I30">
            <v>0</v>
          </cell>
          <cell r="J30">
            <v>0</v>
          </cell>
          <cell r="K30">
            <v>0</v>
          </cell>
          <cell r="L30">
            <v>0</v>
          </cell>
          <cell r="M30">
            <v>0</v>
          </cell>
          <cell r="N30">
            <v>0</v>
          </cell>
          <cell r="O30">
            <v>0</v>
          </cell>
          <cell r="P30">
            <v>0</v>
          </cell>
          <cell r="Q30">
            <v>0</v>
          </cell>
          <cell r="R30">
            <v>0</v>
          </cell>
          <cell r="S30">
            <v>0</v>
          </cell>
          <cell r="T30">
            <v>0</v>
          </cell>
          <cell r="U30" t="str">
            <v>WK3</v>
          </cell>
        </row>
        <row r="31">
          <cell r="A31" t="str">
            <v>EX-FEAT-025</v>
          </cell>
          <cell r="B31" t="str">
            <v>Feature name - EX-FEAT-025</v>
          </cell>
          <cell r="C31" t="str">
            <v>P2</v>
          </cell>
          <cell r="D31" t="str">
            <v/>
          </cell>
          <cell r="E31" t="e">
            <v>#N/A</v>
          </cell>
          <cell r="F31" t="str">
            <v>Legacy</v>
          </cell>
          <cell r="G31" t="str">
            <v>No</v>
          </cell>
          <cell r="H31" t="str">
            <v>No</v>
          </cell>
          <cell r="I31">
            <v>0</v>
          </cell>
          <cell r="J31">
            <v>0</v>
          </cell>
          <cell r="K31">
            <v>0</v>
          </cell>
          <cell r="L31">
            <v>0</v>
          </cell>
          <cell r="M31">
            <v>0</v>
          </cell>
          <cell r="N31">
            <v>0</v>
          </cell>
          <cell r="O31">
            <v>0</v>
          </cell>
          <cell r="P31">
            <v>0</v>
          </cell>
          <cell r="Q31">
            <v>0</v>
          </cell>
          <cell r="R31">
            <v>0</v>
          </cell>
          <cell r="S31">
            <v>0</v>
          </cell>
          <cell r="T31">
            <v>0</v>
          </cell>
          <cell r="U31" t="str">
            <v>WK5</v>
          </cell>
        </row>
        <row r="32">
          <cell r="A32" t="str">
            <v>EX-FEAT-026</v>
          </cell>
          <cell r="B32" t="str">
            <v>Feature name - EX-FEAT-026</v>
          </cell>
          <cell r="C32" t="str">
            <v>P2</v>
          </cell>
          <cell r="D32" t="str">
            <v/>
          </cell>
          <cell r="E32" t="e">
            <v>#N/A</v>
          </cell>
          <cell r="F32" t="str">
            <v>Legacy</v>
          </cell>
          <cell r="G32" t="str">
            <v>No</v>
          </cell>
          <cell r="H32" t="str">
            <v>No</v>
          </cell>
          <cell r="I32">
            <v>0</v>
          </cell>
          <cell r="J32">
            <v>0</v>
          </cell>
          <cell r="K32">
            <v>0</v>
          </cell>
          <cell r="L32">
            <v>0</v>
          </cell>
          <cell r="M32">
            <v>0</v>
          </cell>
          <cell r="N32">
            <v>0</v>
          </cell>
          <cell r="O32">
            <v>0</v>
          </cell>
          <cell r="P32">
            <v>0</v>
          </cell>
          <cell r="Q32">
            <v>0</v>
          </cell>
          <cell r="R32">
            <v>0</v>
          </cell>
          <cell r="S32">
            <v>0</v>
          </cell>
          <cell r="T32">
            <v>0</v>
          </cell>
          <cell r="U32" t="str">
            <v>N/A</v>
          </cell>
        </row>
        <row r="33">
          <cell r="A33" t="str">
            <v>EX-FEAT-027</v>
          </cell>
          <cell r="B33" t="str">
            <v>Feature name - EX-FEAT-027</v>
          </cell>
          <cell r="C33" t="str">
            <v>P2</v>
          </cell>
          <cell r="D33" t="str">
            <v/>
          </cell>
          <cell r="E33" t="e">
            <v>#N/A</v>
          </cell>
          <cell r="F33" t="str">
            <v>Legacy</v>
          </cell>
          <cell r="G33" t="str">
            <v>No</v>
          </cell>
          <cell r="H33" t="str">
            <v>No</v>
          </cell>
          <cell r="I33">
            <v>0</v>
          </cell>
          <cell r="J33">
            <v>0</v>
          </cell>
          <cell r="K33">
            <v>0</v>
          </cell>
          <cell r="L33">
            <v>0</v>
          </cell>
          <cell r="M33">
            <v>0</v>
          </cell>
          <cell r="N33">
            <v>0</v>
          </cell>
          <cell r="O33">
            <v>0</v>
          </cell>
          <cell r="P33">
            <v>0</v>
          </cell>
          <cell r="Q33">
            <v>0</v>
          </cell>
          <cell r="R33">
            <v>0</v>
          </cell>
          <cell r="S33">
            <v>0</v>
          </cell>
          <cell r="T33">
            <v>0</v>
          </cell>
          <cell r="U33" t="str">
            <v>WK4</v>
          </cell>
        </row>
        <row r="34">
          <cell r="A34" t="str">
            <v>EX-FEAT-028</v>
          </cell>
          <cell r="B34" t="str">
            <v>Feature name - EX-FEAT-028</v>
          </cell>
          <cell r="C34" t="str">
            <v>P3</v>
          </cell>
          <cell r="D34" t="str">
            <v/>
          </cell>
          <cell r="E34" t="e">
            <v>#N/A</v>
          </cell>
          <cell r="F34" t="str">
            <v>Legacy</v>
          </cell>
          <cell r="G34" t="str">
            <v>No</v>
          </cell>
          <cell r="H34" t="str">
            <v>No</v>
          </cell>
          <cell r="I34">
            <v>0</v>
          </cell>
          <cell r="J34">
            <v>0</v>
          </cell>
          <cell r="K34">
            <v>0</v>
          </cell>
          <cell r="L34">
            <v>0</v>
          </cell>
          <cell r="M34">
            <v>0</v>
          </cell>
          <cell r="N34">
            <v>0</v>
          </cell>
          <cell r="O34">
            <v>0</v>
          </cell>
          <cell r="P34">
            <v>0</v>
          </cell>
          <cell r="Q34">
            <v>0</v>
          </cell>
          <cell r="R34">
            <v>0</v>
          </cell>
          <cell r="S34">
            <v>0</v>
          </cell>
          <cell r="T34">
            <v>0</v>
          </cell>
          <cell r="U34" t="str">
            <v>WK4</v>
          </cell>
        </row>
        <row r="35">
          <cell r="A35" t="str">
            <v>EX-FEAT-029</v>
          </cell>
          <cell r="B35" t="str">
            <v>Feature name - EX-FEAT-029</v>
          </cell>
          <cell r="C35" t="str">
            <v>P3</v>
          </cell>
          <cell r="D35" t="str">
            <v/>
          </cell>
          <cell r="E35" t="e">
            <v>#N/A</v>
          </cell>
          <cell r="F35" t="str">
            <v>Legacy</v>
          </cell>
          <cell r="G35" t="str">
            <v>No</v>
          </cell>
          <cell r="H35" t="str">
            <v>No</v>
          </cell>
          <cell r="I35">
            <v>0</v>
          </cell>
          <cell r="J35">
            <v>0</v>
          </cell>
          <cell r="K35">
            <v>0</v>
          </cell>
          <cell r="L35">
            <v>0</v>
          </cell>
          <cell r="M35">
            <v>0</v>
          </cell>
          <cell r="N35">
            <v>0</v>
          </cell>
          <cell r="O35">
            <v>0</v>
          </cell>
          <cell r="P35">
            <v>0</v>
          </cell>
          <cell r="Q35">
            <v>0</v>
          </cell>
          <cell r="R35">
            <v>0</v>
          </cell>
          <cell r="S35">
            <v>0</v>
          </cell>
          <cell r="T35">
            <v>0</v>
          </cell>
          <cell r="U35" t="str">
            <v>N/A</v>
          </cell>
        </row>
        <row r="36">
          <cell r="A36" t="str">
            <v>EX-FEAT-030</v>
          </cell>
          <cell r="B36" t="str">
            <v>Feature name - EX-FEAT-030</v>
          </cell>
          <cell r="C36" t="str">
            <v>P1</v>
          </cell>
          <cell r="D36" t="str">
            <v/>
          </cell>
          <cell r="E36" t="e">
            <v>#N/A</v>
          </cell>
          <cell r="F36" t="str">
            <v>Legacy</v>
          </cell>
          <cell r="G36" t="str">
            <v>No</v>
          </cell>
          <cell r="H36" t="str">
            <v>No</v>
          </cell>
          <cell r="I36">
            <v>0</v>
          </cell>
          <cell r="J36">
            <v>0</v>
          </cell>
          <cell r="K36">
            <v>0</v>
          </cell>
          <cell r="L36">
            <v>0</v>
          </cell>
          <cell r="M36">
            <v>0</v>
          </cell>
          <cell r="N36">
            <v>0</v>
          </cell>
          <cell r="O36">
            <v>0</v>
          </cell>
          <cell r="P36">
            <v>0</v>
          </cell>
          <cell r="Q36">
            <v>0</v>
          </cell>
          <cell r="R36">
            <v>0</v>
          </cell>
          <cell r="S36">
            <v>0</v>
          </cell>
          <cell r="T36">
            <v>0</v>
          </cell>
          <cell r="U36" t="str">
            <v>WK1</v>
          </cell>
        </row>
        <row r="37">
          <cell r="A37" t="str">
            <v>EX-FEAT-031</v>
          </cell>
          <cell r="B37" t="str">
            <v>Feature name - EX-FEAT-031</v>
          </cell>
          <cell r="C37" t="str">
            <v>P3</v>
          </cell>
          <cell r="D37" t="str">
            <v/>
          </cell>
          <cell r="E37" t="e">
            <v>#N/A</v>
          </cell>
          <cell r="F37" t="str">
            <v>Legacy</v>
          </cell>
          <cell r="G37" t="str">
            <v>No</v>
          </cell>
          <cell r="H37" t="str">
            <v>No</v>
          </cell>
          <cell r="I37">
            <v>0</v>
          </cell>
          <cell r="J37">
            <v>0</v>
          </cell>
          <cell r="K37">
            <v>0</v>
          </cell>
          <cell r="L37">
            <v>0</v>
          </cell>
          <cell r="M37">
            <v>0</v>
          </cell>
          <cell r="N37">
            <v>0</v>
          </cell>
          <cell r="O37">
            <v>0</v>
          </cell>
          <cell r="P37">
            <v>0</v>
          </cell>
          <cell r="Q37">
            <v>0</v>
          </cell>
          <cell r="R37">
            <v>0</v>
          </cell>
          <cell r="S37">
            <v>0</v>
          </cell>
          <cell r="T37">
            <v>0</v>
          </cell>
          <cell r="U37" t="str">
            <v>WK5</v>
          </cell>
        </row>
        <row r="38">
          <cell r="A38" t="str">
            <v>EX-FEAT-032</v>
          </cell>
          <cell r="B38" t="str">
            <v>Feature name - EX-FEAT-032</v>
          </cell>
          <cell r="C38" t="str">
            <v>P3</v>
          </cell>
          <cell r="D38" t="str">
            <v/>
          </cell>
          <cell r="E38" t="e">
            <v>#N/A</v>
          </cell>
          <cell r="F38" t="str">
            <v>Legacy</v>
          </cell>
          <cell r="G38" t="str">
            <v>No</v>
          </cell>
          <cell r="H38" t="str">
            <v>No</v>
          </cell>
          <cell r="I38">
            <v>0</v>
          </cell>
          <cell r="J38">
            <v>0</v>
          </cell>
          <cell r="K38">
            <v>0</v>
          </cell>
          <cell r="L38">
            <v>0</v>
          </cell>
          <cell r="M38">
            <v>0</v>
          </cell>
          <cell r="N38">
            <v>0</v>
          </cell>
          <cell r="O38">
            <v>0</v>
          </cell>
          <cell r="P38">
            <v>0</v>
          </cell>
          <cell r="Q38">
            <v>0</v>
          </cell>
          <cell r="R38">
            <v>0</v>
          </cell>
          <cell r="S38">
            <v>0</v>
          </cell>
          <cell r="T38">
            <v>0</v>
          </cell>
          <cell r="U38" t="str">
            <v>WK3</v>
          </cell>
        </row>
        <row r="39">
          <cell r="A39" t="str">
            <v>EX-FEAT-033</v>
          </cell>
          <cell r="B39" t="str">
            <v>Feature name - EX-FEAT-033</v>
          </cell>
          <cell r="C39" t="str">
            <v>P3</v>
          </cell>
          <cell r="D39" t="str">
            <v/>
          </cell>
          <cell r="E39" t="e">
            <v>#N/A</v>
          </cell>
          <cell r="F39" t="str">
            <v>Legacy</v>
          </cell>
          <cell r="G39" t="str">
            <v>No</v>
          </cell>
          <cell r="H39" t="str">
            <v>No</v>
          </cell>
          <cell r="I39">
            <v>0</v>
          </cell>
          <cell r="J39">
            <v>0</v>
          </cell>
          <cell r="K39">
            <v>0</v>
          </cell>
          <cell r="L39">
            <v>0</v>
          </cell>
          <cell r="M39">
            <v>0</v>
          </cell>
          <cell r="N39">
            <v>0</v>
          </cell>
          <cell r="O39">
            <v>0</v>
          </cell>
          <cell r="P39">
            <v>0</v>
          </cell>
          <cell r="Q39">
            <v>0</v>
          </cell>
          <cell r="R39">
            <v>0</v>
          </cell>
          <cell r="S39">
            <v>0</v>
          </cell>
          <cell r="T39">
            <v>0</v>
          </cell>
          <cell r="U39" t="str">
            <v>N/A</v>
          </cell>
        </row>
        <row r="40">
          <cell r="A40" t="str">
            <v>EX-FEAT-034</v>
          </cell>
          <cell r="B40" t="str">
            <v>Feature name - EX-FEAT-034</v>
          </cell>
          <cell r="C40" t="str">
            <v>P2</v>
          </cell>
          <cell r="D40" t="str">
            <v/>
          </cell>
          <cell r="E40" t="e">
            <v>#N/A</v>
          </cell>
          <cell r="F40" t="str">
            <v>Legacy</v>
          </cell>
          <cell r="G40" t="str">
            <v>No</v>
          </cell>
          <cell r="H40" t="str">
            <v>No</v>
          </cell>
          <cell r="I40">
            <v>0</v>
          </cell>
          <cell r="J40">
            <v>0</v>
          </cell>
          <cell r="K40">
            <v>0</v>
          </cell>
          <cell r="L40">
            <v>0</v>
          </cell>
          <cell r="M40">
            <v>0</v>
          </cell>
          <cell r="N40">
            <v>0</v>
          </cell>
          <cell r="O40">
            <v>0</v>
          </cell>
          <cell r="P40">
            <v>0</v>
          </cell>
          <cell r="Q40">
            <v>0</v>
          </cell>
          <cell r="R40">
            <v>0</v>
          </cell>
          <cell r="S40">
            <v>0</v>
          </cell>
          <cell r="T40">
            <v>0</v>
          </cell>
          <cell r="U40" t="str">
            <v>WK3</v>
          </cell>
        </row>
        <row r="41">
          <cell r="A41" t="str">
            <v>EX-FEAT-035</v>
          </cell>
          <cell r="B41" t="str">
            <v>Feature name - EX-FEAT-035</v>
          </cell>
          <cell r="C41" t="str">
            <v>P1</v>
          </cell>
          <cell r="D41" t="str">
            <v/>
          </cell>
          <cell r="E41" t="e">
            <v>#N/A</v>
          </cell>
          <cell r="F41" t="str">
            <v>Legacy</v>
          </cell>
          <cell r="G41" t="str">
            <v>No</v>
          </cell>
          <cell r="H41" t="str">
            <v>No</v>
          </cell>
          <cell r="I41">
            <v>0</v>
          </cell>
          <cell r="J41">
            <v>0</v>
          </cell>
          <cell r="K41">
            <v>0</v>
          </cell>
          <cell r="L41">
            <v>0</v>
          </cell>
          <cell r="M41">
            <v>0</v>
          </cell>
          <cell r="N41">
            <v>0</v>
          </cell>
          <cell r="O41">
            <v>0</v>
          </cell>
          <cell r="P41">
            <v>0</v>
          </cell>
          <cell r="Q41">
            <v>0</v>
          </cell>
          <cell r="R41">
            <v>0</v>
          </cell>
          <cell r="S41">
            <v>0</v>
          </cell>
          <cell r="T41">
            <v>0</v>
          </cell>
          <cell r="U41" t="str">
            <v>WK4</v>
          </cell>
        </row>
        <row r="42">
          <cell r="A42" t="str">
            <v>EX-FEAT-036</v>
          </cell>
          <cell r="B42" t="str">
            <v>Feature name - EX-FEAT-036</v>
          </cell>
          <cell r="C42" t="str">
            <v>P2</v>
          </cell>
          <cell r="D42" t="str">
            <v/>
          </cell>
          <cell r="E42" t="e">
            <v>#N/A</v>
          </cell>
          <cell r="F42" t="str">
            <v>Legacy</v>
          </cell>
          <cell r="G42" t="str">
            <v>No</v>
          </cell>
          <cell r="H42" t="str">
            <v>No</v>
          </cell>
          <cell r="I42">
            <v>0</v>
          </cell>
          <cell r="J42">
            <v>0</v>
          </cell>
          <cell r="K42">
            <v>0</v>
          </cell>
          <cell r="L42">
            <v>0</v>
          </cell>
          <cell r="M42">
            <v>0</v>
          </cell>
          <cell r="N42">
            <v>0</v>
          </cell>
          <cell r="O42">
            <v>0</v>
          </cell>
          <cell r="P42">
            <v>0</v>
          </cell>
          <cell r="Q42">
            <v>0</v>
          </cell>
          <cell r="R42">
            <v>0</v>
          </cell>
          <cell r="S42">
            <v>0</v>
          </cell>
          <cell r="T42">
            <v>0</v>
          </cell>
          <cell r="U42" t="str">
            <v>N/A</v>
          </cell>
        </row>
        <row r="43">
          <cell r="A43" t="str">
            <v>EX-FEAT-037</v>
          </cell>
          <cell r="B43" t="str">
            <v>Feature name - EX-FEAT-037</v>
          </cell>
          <cell r="C43" t="str">
            <v>P3</v>
          </cell>
          <cell r="D43" t="str">
            <v/>
          </cell>
          <cell r="E43" t="e">
            <v>#N/A</v>
          </cell>
          <cell r="F43" t="str">
            <v>Legacy</v>
          </cell>
          <cell r="G43" t="str">
            <v>No</v>
          </cell>
          <cell r="H43" t="str">
            <v>No</v>
          </cell>
          <cell r="I43">
            <v>0</v>
          </cell>
          <cell r="J43">
            <v>0</v>
          </cell>
          <cell r="K43">
            <v>0</v>
          </cell>
          <cell r="L43">
            <v>0</v>
          </cell>
          <cell r="M43">
            <v>0</v>
          </cell>
          <cell r="N43">
            <v>0</v>
          </cell>
          <cell r="O43">
            <v>0</v>
          </cell>
          <cell r="P43">
            <v>0</v>
          </cell>
          <cell r="Q43">
            <v>0</v>
          </cell>
          <cell r="R43">
            <v>0</v>
          </cell>
          <cell r="S43">
            <v>0</v>
          </cell>
          <cell r="T43">
            <v>0</v>
          </cell>
          <cell r="U43" t="str">
            <v>WK7</v>
          </cell>
        </row>
        <row r="44">
          <cell r="A44" t="str">
            <v>EX-FEAT-038</v>
          </cell>
          <cell r="B44" t="str">
            <v>Feature name - EX-FEAT-038</v>
          </cell>
          <cell r="C44" t="str">
            <v>P1</v>
          </cell>
          <cell r="D44" t="str">
            <v/>
          </cell>
          <cell r="E44" t="e">
            <v>#N/A</v>
          </cell>
          <cell r="F44" t="str">
            <v>Legacy</v>
          </cell>
          <cell r="G44" t="str">
            <v>No</v>
          </cell>
          <cell r="H44" t="str">
            <v>No</v>
          </cell>
          <cell r="I44">
            <v>0</v>
          </cell>
          <cell r="J44">
            <v>0</v>
          </cell>
          <cell r="K44">
            <v>0</v>
          </cell>
          <cell r="L44">
            <v>0</v>
          </cell>
          <cell r="M44">
            <v>0</v>
          </cell>
          <cell r="N44">
            <v>0</v>
          </cell>
          <cell r="O44">
            <v>0</v>
          </cell>
          <cell r="P44">
            <v>0</v>
          </cell>
          <cell r="Q44">
            <v>0</v>
          </cell>
          <cell r="R44">
            <v>0</v>
          </cell>
          <cell r="S44">
            <v>0</v>
          </cell>
          <cell r="T44">
            <v>0</v>
          </cell>
          <cell r="U44" t="str">
            <v>WK1</v>
          </cell>
        </row>
        <row r="45">
          <cell r="A45" t="str">
            <v>EX-FEAT-039</v>
          </cell>
          <cell r="B45" t="str">
            <v>Feature name - EX-FEAT-039</v>
          </cell>
          <cell r="C45" t="str">
            <v>P2</v>
          </cell>
          <cell r="D45" t="str">
            <v/>
          </cell>
          <cell r="E45" t="e">
            <v>#N/A</v>
          </cell>
          <cell r="F45" t="str">
            <v>Legacy</v>
          </cell>
          <cell r="G45" t="str">
            <v>No</v>
          </cell>
          <cell r="H45" t="str">
            <v>No</v>
          </cell>
          <cell r="I45">
            <v>0</v>
          </cell>
          <cell r="J45">
            <v>0</v>
          </cell>
          <cell r="K45">
            <v>0</v>
          </cell>
          <cell r="L45">
            <v>0</v>
          </cell>
          <cell r="M45">
            <v>0</v>
          </cell>
          <cell r="N45">
            <v>0</v>
          </cell>
          <cell r="O45">
            <v>0</v>
          </cell>
          <cell r="P45">
            <v>0</v>
          </cell>
          <cell r="Q45">
            <v>0</v>
          </cell>
          <cell r="R45">
            <v>0</v>
          </cell>
          <cell r="S45">
            <v>0</v>
          </cell>
          <cell r="T45">
            <v>0</v>
          </cell>
          <cell r="U45" t="str">
            <v>WK4</v>
          </cell>
        </row>
        <row r="46">
          <cell r="A46" t="str">
            <v>EX-FEAT-040</v>
          </cell>
          <cell r="B46" t="str">
            <v>Feature name - EX-FEAT-040</v>
          </cell>
          <cell r="C46" t="str">
            <v>P1</v>
          </cell>
          <cell r="D46" t="str">
            <v/>
          </cell>
          <cell r="E46" t="e">
            <v>#N/A</v>
          </cell>
          <cell r="F46" t="str">
            <v>Legacy</v>
          </cell>
          <cell r="G46" t="str">
            <v>No</v>
          </cell>
          <cell r="H46" t="str">
            <v>No</v>
          </cell>
          <cell r="I46">
            <v>0</v>
          </cell>
          <cell r="J46">
            <v>0</v>
          </cell>
          <cell r="K46">
            <v>0</v>
          </cell>
          <cell r="L46">
            <v>0</v>
          </cell>
          <cell r="M46">
            <v>0</v>
          </cell>
          <cell r="N46">
            <v>0</v>
          </cell>
          <cell r="O46">
            <v>0</v>
          </cell>
          <cell r="P46">
            <v>0</v>
          </cell>
          <cell r="Q46">
            <v>0</v>
          </cell>
          <cell r="R46">
            <v>0</v>
          </cell>
          <cell r="S46">
            <v>0</v>
          </cell>
          <cell r="T46">
            <v>0</v>
          </cell>
          <cell r="U46" t="str">
            <v>WK2</v>
          </cell>
        </row>
        <row r="47">
          <cell r="A47" t="str">
            <v>EX-FEAT-041</v>
          </cell>
          <cell r="B47" t="str">
            <v>Feature name - EX-FEAT-041</v>
          </cell>
          <cell r="C47" t="str">
            <v>P1</v>
          </cell>
          <cell r="D47" t="str">
            <v/>
          </cell>
          <cell r="E47" t="e">
            <v>#N/A</v>
          </cell>
          <cell r="F47" t="str">
            <v>Legacy</v>
          </cell>
          <cell r="G47" t="str">
            <v>No</v>
          </cell>
          <cell r="H47" t="str">
            <v>No</v>
          </cell>
          <cell r="I47">
            <v>0</v>
          </cell>
          <cell r="J47">
            <v>0</v>
          </cell>
          <cell r="K47">
            <v>0</v>
          </cell>
          <cell r="L47">
            <v>0</v>
          </cell>
          <cell r="M47">
            <v>0</v>
          </cell>
          <cell r="N47">
            <v>0</v>
          </cell>
          <cell r="O47">
            <v>0</v>
          </cell>
          <cell r="P47">
            <v>0</v>
          </cell>
          <cell r="Q47">
            <v>0</v>
          </cell>
          <cell r="R47">
            <v>0</v>
          </cell>
          <cell r="S47">
            <v>0</v>
          </cell>
          <cell r="T47">
            <v>0</v>
          </cell>
          <cell r="U47" t="str">
            <v>WK1</v>
          </cell>
        </row>
        <row r="48">
          <cell r="A48" t="str">
            <v>EX-FEAT-042</v>
          </cell>
          <cell r="B48" t="str">
            <v>Feature name - EX-FEAT-042</v>
          </cell>
          <cell r="C48" t="str">
            <v>P1</v>
          </cell>
          <cell r="D48" t="str">
            <v/>
          </cell>
          <cell r="E48" t="e">
            <v>#N/A</v>
          </cell>
          <cell r="F48" t="str">
            <v>Legacy</v>
          </cell>
          <cell r="G48" t="str">
            <v>No</v>
          </cell>
          <cell r="H48" t="str">
            <v>No</v>
          </cell>
          <cell r="I48">
            <v>0</v>
          </cell>
          <cell r="J48">
            <v>0</v>
          </cell>
          <cell r="K48">
            <v>0</v>
          </cell>
          <cell r="L48">
            <v>0</v>
          </cell>
          <cell r="M48">
            <v>0</v>
          </cell>
          <cell r="N48">
            <v>0</v>
          </cell>
          <cell r="O48">
            <v>0</v>
          </cell>
          <cell r="P48">
            <v>0</v>
          </cell>
          <cell r="Q48">
            <v>0</v>
          </cell>
          <cell r="R48">
            <v>0</v>
          </cell>
          <cell r="S48">
            <v>0</v>
          </cell>
          <cell r="T48">
            <v>0</v>
          </cell>
          <cell r="U48" t="str">
            <v>WK1</v>
          </cell>
        </row>
        <row r="49">
          <cell r="A49" t="str">
            <v>EX-FEAT-043</v>
          </cell>
          <cell r="B49" t="str">
            <v>Feature name - EX-FEAT-043</v>
          </cell>
          <cell r="C49" t="str">
            <v>P3</v>
          </cell>
          <cell r="D49" t="str">
            <v/>
          </cell>
          <cell r="E49" t="e">
            <v>#N/A</v>
          </cell>
          <cell r="F49" t="str">
            <v>Legacy</v>
          </cell>
          <cell r="G49" t="str">
            <v>No</v>
          </cell>
          <cell r="H49" t="str">
            <v>No</v>
          </cell>
          <cell r="I49">
            <v>0</v>
          </cell>
          <cell r="J49">
            <v>0</v>
          </cell>
          <cell r="K49">
            <v>0</v>
          </cell>
          <cell r="L49">
            <v>0</v>
          </cell>
          <cell r="M49">
            <v>0</v>
          </cell>
          <cell r="N49">
            <v>0</v>
          </cell>
          <cell r="O49">
            <v>0</v>
          </cell>
          <cell r="P49">
            <v>0</v>
          </cell>
          <cell r="Q49">
            <v>0</v>
          </cell>
          <cell r="R49">
            <v>0</v>
          </cell>
          <cell r="S49">
            <v>0</v>
          </cell>
          <cell r="T49">
            <v>0</v>
          </cell>
          <cell r="U49" t="str">
            <v>WK6</v>
          </cell>
        </row>
        <row r="50">
          <cell r="A50" t="str">
            <v>EX-FEAT-044</v>
          </cell>
          <cell r="B50" t="str">
            <v>Feature name - EX-FEAT-044</v>
          </cell>
          <cell r="C50" t="str">
            <v>P2</v>
          </cell>
          <cell r="D50" t="str">
            <v/>
          </cell>
          <cell r="E50" t="e">
            <v>#N/A</v>
          </cell>
          <cell r="F50" t="str">
            <v>Legacy</v>
          </cell>
          <cell r="G50" t="str">
            <v>No</v>
          </cell>
          <cell r="H50" t="str">
            <v>No</v>
          </cell>
          <cell r="I50">
            <v>0</v>
          </cell>
          <cell r="J50">
            <v>0</v>
          </cell>
          <cell r="K50">
            <v>0</v>
          </cell>
          <cell r="L50">
            <v>0</v>
          </cell>
          <cell r="M50">
            <v>0</v>
          </cell>
          <cell r="N50">
            <v>0</v>
          </cell>
          <cell r="O50">
            <v>0</v>
          </cell>
          <cell r="P50">
            <v>0</v>
          </cell>
          <cell r="Q50">
            <v>0</v>
          </cell>
          <cell r="R50">
            <v>0</v>
          </cell>
          <cell r="S50">
            <v>0</v>
          </cell>
          <cell r="T50">
            <v>0</v>
          </cell>
          <cell r="U50" t="str">
            <v>WK4</v>
          </cell>
        </row>
        <row r="51">
          <cell r="A51" t="str">
            <v>EX-FEAT-045</v>
          </cell>
          <cell r="B51" t="str">
            <v>Feature name - EX-FEAT-045</v>
          </cell>
          <cell r="C51" t="str">
            <v>P1</v>
          </cell>
          <cell r="D51" t="str">
            <v/>
          </cell>
          <cell r="E51" t="e">
            <v>#N/A</v>
          </cell>
          <cell r="F51" t="str">
            <v>Legacy</v>
          </cell>
          <cell r="G51" t="str">
            <v>No</v>
          </cell>
          <cell r="H51" t="str">
            <v>No</v>
          </cell>
          <cell r="I51">
            <v>0</v>
          </cell>
          <cell r="J51">
            <v>0</v>
          </cell>
          <cell r="K51">
            <v>0</v>
          </cell>
          <cell r="L51">
            <v>0</v>
          </cell>
          <cell r="M51">
            <v>0</v>
          </cell>
          <cell r="N51">
            <v>0</v>
          </cell>
          <cell r="O51">
            <v>0</v>
          </cell>
          <cell r="P51">
            <v>0</v>
          </cell>
          <cell r="Q51">
            <v>0</v>
          </cell>
          <cell r="R51">
            <v>0</v>
          </cell>
          <cell r="S51">
            <v>0</v>
          </cell>
          <cell r="T51">
            <v>0</v>
          </cell>
          <cell r="U51" t="str">
            <v>N/A</v>
          </cell>
        </row>
        <row r="52">
          <cell r="A52" t="str">
            <v>EX-FEAT-046</v>
          </cell>
          <cell r="B52" t="str">
            <v>Feature name - EX-FEAT-046</v>
          </cell>
          <cell r="C52" t="str">
            <v>P3</v>
          </cell>
          <cell r="D52" t="str">
            <v/>
          </cell>
          <cell r="E52" t="e">
            <v>#N/A</v>
          </cell>
          <cell r="F52" t="str">
            <v>Legacy</v>
          </cell>
          <cell r="G52" t="str">
            <v>No</v>
          </cell>
          <cell r="H52" t="str">
            <v>No</v>
          </cell>
          <cell r="I52">
            <v>0</v>
          </cell>
          <cell r="J52">
            <v>0</v>
          </cell>
          <cell r="K52">
            <v>0</v>
          </cell>
          <cell r="L52">
            <v>0</v>
          </cell>
          <cell r="M52">
            <v>0</v>
          </cell>
          <cell r="N52">
            <v>0</v>
          </cell>
          <cell r="O52">
            <v>0</v>
          </cell>
          <cell r="P52">
            <v>0</v>
          </cell>
          <cell r="Q52">
            <v>0</v>
          </cell>
          <cell r="R52">
            <v>0</v>
          </cell>
          <cell r="S52">
            <v>0</v>
          </cell>
          <cell r="T52">
            <v>0</v>
          </cell>
          <cell r="U52" t="str">
            <v>WK2</v>
          </cell>
        </row>
        <row r="53">
          <cell r="A53" t="str">
            <v>EX-FEAT-047</v>
          </cell>
          <cell r="B53" t="str">
            <v>Feature name - EX-FEAT-047</v>
          </cell>
          <cell r="C53" t="str">
            <v>P2</v>
          </cell>
          <cell r="D53" t="str">
            <v/>
          </cell>
          <cell r="E53" t="e">
            <v>#N/A</v>
          </cell>
          <cell r="F53" t="str">
            <v>Legacy</v>
          </cell>
          <cell r="G53" t="str">
            <v>No</v>
          </cell>
          <cell r="H53" t="str">
            <v>No</v>
          </cell>
          <cell r="I53">
            <v>0</v>
          </cell>
          <cell r="J53">
            <v>0</v>
          </cell>
          <cell r="K53">
            <v>0</v>
          </cell>
          <cell r="L53">
            <v>0</v>
          </cell>
          <cell r="M53">
            <v>0</v>
          </cell>
          <cell r="N53">
            <v>0</v>
          </cell>
          <cell r="O53">
            <v>0</v>
          </cell>
          <cell r="P53">
            <v>0</v>
          </cell>
          <cell r="Q53">
            <v>0</v>
          </cell>
          <cell r="R53">
            <v>0</v>
          </cell>
          <cell r="S53">
            <v>0</v>
          </cell>
          <cell r="T53">
            <v>0</v>
          </cell>
          <cell r="U53" t="str">
            <v>WK2</v>
          </cell>
        </row>
        <row r="54">
          <cell r="A54" t="str">
            <v>EX-FEAT-048</v>
          </cell>
          <cell r="B54" t="str">
            <v>Feature name - EX-FEAT-048</v>
          </cell>
          <cell r="C54" t="str">
            <v>P1</v>
          </cell>
          <cell r="D54" t="str">
            <v/>
          </cell>
          <cell r="E54" t="e">
            <v>#N/A</v>
          </cell>
          <cell r="F54" t="str">
            <v>Legacy</v>
          </cell>
          <cell r="G54" t="str">
            <v>No</v>
          </cell>
          <cell r="H54" t="str">
            <v>No</v>
          </cell>
          <cell r="I54">
            <v>0</v>
          </cell>
          <cell r="J54">
            <v>0</v>
          </cell>
          <cell r="K54">
            <v>0</v>
          </cell>
          <cell r="L54">
            <v>0</v>
          </cell>
          <cell r="M54">
            <v>0</v>
          </cell>
          <cell r="N54">
            <v>0</v>
          </cell>
          <cell r="O54">
            <v>0</v>
          </cell>
          <cell r="P54">
            <v>0</v>
          </cell>
          <cell r="Q54">
            <v>0</v>
          </cell>
          <cell r="R54">
            <v>0</v>
          </cell>
          <cell r="S54">
            <v>0</v>
          </cell>
          <cell r="T54">
            <v>0</v>
          </cell>
          <cell r="U54" t="str">
            <v>WK2</v>
          </cell>
        </row>
        <row r="55">
          <cell r="A55" t="str">
            <v>EX-FEAT-049</v>
          </cell>
          <cell r="B55" t="str">
            <v>Feature name - EX-FEAT-049</v>
          </cell>
          <cell r="C55" t="str">
            <v>P1</v>
          </cell>
          <cell r="D55" t="str">
            <v/>
          </cell>
          <cell r="E55" t="e">
            <v>#N/A</v>
          </cell>
          <cell r="F55" t="str">
            <v>Legacy</v>
          </cell>
          <cell r="G55" t="str">
            <v>No</v>
          </cell>
          <cell r="H55" t="str">
            <v>No</v>
          </cell>
          <cell r="I55">
            <v>0</v>
          </cell>
          <cell r="J55">
            <v>0</v>
          </cell>
          <cell r="K55">
            <v>0</v>
          </cell>
          <cell r="L55">
            <v>0</v>
          </cell>
          <cell r="M55">
            <v>0</v>
          </cell>
          <cell r="N55">
            <v>0</v>
          </cell>
          <cell r="O55">
            <v>0</v>
          </cell>
          <cell r="P55">
            <v>0</v>
          </cell>
          <cell r="Q55">
            <v>0</v>
          </cell>
          <cell r="R55">
            <v>0</v>
          </cell>
          <cell r="S55">
            <v>0</v>
          </cell>
          <cell r="T55">
            <v>0</v>
          </cell>
          <cell r="U55" t="str">
            <v>N/A</v>
          </cell>
        </row>
        <row r="56">
          <cell r="A56" t="str">
            <v>EX-FEAT-050</v>
          </cell>
          <cell r="B56" t="str">
            <v>Feature name - EX-FEAT-050</v>
          </cell>
          <cell r="C56" t="str">
            <v>P2</v>
          </cell>
          <cell r="D56" t="str">
            <v/>
          </cell>
          <cell r="E56" t="e">
            <v>#N/A</v>
          </cell>
          <cell r="F56" t="str">
            <v>Legacy</v>
          </cell>
          <cell r="G56" t="str">
            <v>No</v>
          </cell>
          <cell r="H56" t="str">
            <v>No</v>
          </cell>
          <cell r="I56">
            <v>0</v>
          </cell>
          <cell r="J56">
            <v>0</v>
          </cell>
          <cell r="K56">
            <v>0</v>
          </cell>
          <cell r="L56">
            <v>0</v>
          </cell>
          <cell r="M56">
            <v>0</v>
          </cell>
          <cell r="N56">
            <v>0</v>
          </cell>
          <cell r="O56">
            <v>0</v>
          </cell>
          <cell r="P56">
            <v>0</v>
          </cell>
          <cell r="Q56">
            <v>0</v>
          </cell>
          <cell r="R56">
            <v>0</v>
          </cell>
          <cell r="S56">
            <v>0</v>
          </cell>
          <cell r="T56">
            <v>0</v>
          </cell>
          <cell r="U56" t="str">
            <v>WK4</v>
          </cell>
        </row>
        <row r="57">
          <cell r="A57" t="str">
            <v>EX-FEAT-051</v>
          </cell>
          <cell r="B57" t="str">
            <v>Feature name - EX-FEAT-051</v>
          </cell>
          <cell r="C57" t="str">
            <v>P1</v>
          </cell>
          <cell r="D57" t="str">
            <v/>
          </cell>
          <cell r="E57" t="e">
            <v>#N/A</v>
          </cell>
          <cell r="F57" t="str">
            <v>Legacy</v>
          </cell>
          <cell r="G57" t="str">
            <v>No</v>
          </cell>
          <cell r="H57" t="str">
            <v>No</v>
          </cell>
          <cell r="I57">
            <v>0</v>
          </cell>
          <cell r="J57">
            <v>0</v>
          </cell>
          <cell r="K57">
            <v>0</v>
          </cell>
          <cell r="L57">
            <v>0</v>
          </cell>
          <cell r="M57">
            <v>0</v>
          </cell>
          <cell r="N57">
            <v>0</v>
          </cell>
          <cell r="O57">
            <v>0</v>
          </cell>
          <cell r="P57">
            <v>0</v>
          </cell>
          <cell r="Q57">
            <v>0</v>
          </cell>
          <cell r="R57">
            <v>0</v>
          </cell>
          <cell r="S57">
            <v>0</v>
          </cell>
          <cell r="T57">
            <v>0</v>
          </cell>
          <cell r="U57" t="str">
            <v>WK4</v>
          </cell>
        </row>
        <row r="58">
          <cell r="A58" t="str">
            <v>EX-FEAT-052</v>
          </cell>
          <cell r="B58" t="str">
            <v>Feature name - EX-FEAT-052</v>
          </cell>
          <cell r="C58" t="str">
            <v>P2</v>
          </cell>
          <cell r="D58" t="str">
            <v/>
          </cell>
          <cell r="E58" t="e">
            <v>#N/A</v>
          </cell>
          <cell r="F58" t="str">
            <v>New</v>
          </cell>
          <cell r="G58" t="str">
            <v>No</v>
          </cell>
          <cell r="H58" t="str">
            <v>No</v>
          </cell>
          <cell r="I58">
            <v>0</v>
          </cell>
          <cell r="J58">
            <v>0</v>
          </cell>
          <cell r="K58">
            <v>0</v>
          </cell>
          <cell r="L58">
            <v>0</v>
          </cell>
          <cell r="M58">
            <v>0</v>
          </cell>
          <cell r="N58">
            <v>0</v>
          </cell>
          <cell r="O58">
            <v>0</v>
          </cell>
          <cell r="P58">
            <v>0</v>
          </cell>
          <cell r="Q58">
            <v>0</v>
          </cell>
          <cell r="R58">
            <v>0</v>
          </cell>
          <cell r="S58">
            <v>0</v>
          </cell>
          <cell r="T58">
            <v>0</v>
          </cell>
          <cell r="U58" t="str">
            <v>WK4</v>
          </cell>
        </row>
        <row r="59">
          <cell r="A59" t="str">
            <v>EX-FEAT-053</v>
          </cell>
          <cell r="B59" t="str">
            <v>Feature name - EX-FEAT-053</v>
          </cell>
          <cell r="C59" t="str">
            <v>P3</v>
          </cell>
          <cell r="D59" t="str">
            <v/>
          </cell>
          <cell r="E59" t="e">
            <v>#N/A</v>
          </cell>
          <cell r="F59" t="str">
            <v>New</v>
          </cell>
          <cell r="G59" t="str">
            <v>No</v>
          </cell>
          <cell r="H59" t="str">
            <v>No</v>
          </cell>
          <cell r="I59">
            <v>0</v>
          </cell>
          <cell r="J59">
            <v>0</v>
          </cell>
          <cell r="K59">
            <v>0</v>
          </cell>
          <cell r="L59">
            <v>0</v>
          </cell>
          <cell r="M59">
            <v>0</v>
          </cell>
          <cell r="N59">
            <v>0</v>
          </cell>
          <cell r="O59">
            <v>0</v>
          </cell>
          <cell r="P59">
            <v>0</v>
          </cell>
          <cell r="Q59">
            <v>0</v>
          </cell>
          <cell r="R59">
            <v>0</v>
          </cell>
          <cell r="S59">
            <v>0</v>
          </cell>
          <cell r="T59">
            <v>0</v>
          </cell>
          <cell r="U59" t="str">
            <v>WK2</v>
          </cell>
        </row>
        <row r="60">
          <cell r="A60" t="str">
            <v>EX-FEAT-054</v>
          </cell>
          <cell r="B60" t="str">
            <v>Feature name - EX-FEAT-054</v>
          </cell>
          <cell r="C60" t="str">
            <v>P1</v>
          </cell>
          <cell r="D60" t="str">
            <v/>
          </cell>
          <cell r="E60" t="e">
            <v>#N/A</v>
          </cell>
          <cell r="F60" t="str">
            <v>Legacy</v>
          </cell>
          <cell r="G60" t="str">
            <v>No</v>
          </cell>
          <cell r="H60" t="str">
            <v>No</v>
          </cell>
          <cell r="I60">
            <v>0</v>
          </cell>
          <cell r="J60">
            <v>0</v>
          </cell>
          <cell r="K60">
            <v>0</v>
          </cell>
          <cell r="L60">
            <v>0</v>
          </cell>
          <cell r="M60">
            <v>0</v>
          </cell>
          <cell r="N60">
            <v>0</v>
          </cell>
          <cell r="O60">
            <v>0</v>
          </cell>
          <cell r="P60">
            <v>0</v>
          </cell>
          <cell r="Q60">
            <v>0</v>
          </cell>
          <cell r="R60">
            <v>0</v>
          </cell>
          <cell r="S60">
            <v>0</v>
          </cell>
          <cell r="T60">
            <v>0</v>
          </cell>
          <cell r="U60" t="str">
            <v>N/A</v>
          </cell>
        </row>
        <row r="61">
          <cell r="A61" t="str">
            <v>EX-FEAT-055</v>
          </cell>
          <cell r="B61" t="str">
            <v>Feature name - EX-FEAT-055</v>
          </cell>
          <cell r="C61" t="str">
            <v>P3</v>
          </cell>
          <cell r="D61" t="str">
            <v/>
          </cell>
          <cell r="E61" t="e">
            <v>#N/A</v>
          </cell>
          <cell r="F61" t="str">
            <v>New</v>
          </cell>
          <cell r="G61" t="str">
            <v>No</v>
          </cell>
          <cell r="H61" t="str">
            <v>No</v>
          </cell>
          <cell r="I61">
            <v>0</v>
          </cell>
          <cell r="J61">
            <v>0</v>
          </cell>
          <cell r="K61">
            <v>0</v>
          </cell>
          <cell r="L61">
            <v>0</v>
          </cell>
          <cell r="M61">
            <v>0</v>
          </cell>
          <cell r="N61">
            <v>0</v>
          </cell>
          <cell r="O61">
            <v>0</v>
          </cell>
          <cell r="P61">
            <v>0</v>
          </cell>
          <cell r="Q61">
            <v>0</v>
          </cell>
          <cell r="R61">
            <v>0</v>
          </cell>
          <cell r="S61">
            <v>0</v>
          </cell>
          <cell r="T61">
            <v>0</v>
          </cell>
          <cell r="U61" t="str">
            <v>WK3</v>
          </cell>
        </row>
        <row r="62">
          <cell r="A62" t="str">
            <v>EX-FEAT-056</v>
          </cell>
          <cell r="B62" t="str">
            <v>Feature name - EX-FEAT-056</v>
          </cell>
          <cell r="C62" t="str">
            <v>P1</v>
          </cell>
          <cell r="D62" t="str">
            <v/>
          </cell>
          <cell r="E62" t="e">
            <v>#N/A</v>
          </cell>
          <cell r="F62" t="str">
            <v>Legacy</v>
          </cell>
          <cell r="G62" t="str">
            <v>No</v>
          </cell>
          <cell r="H62" t="str">
            <v>No</v>
          </cell>
          <cell r="I62">
            <v>0</v>
          </cell>
          <cell r="J62">
            <v>0</v>
          </cell>
          <cell r="K62">
            <v>0</v>
          </cell>
          <cell r="L62">
            <v>0</v>
          </cell>
          <cell r="M62">
            <v>0</v>
          </cell>
          <cell r="N62">
            <v>0</v>
          </cell>
          <cell r="O62">
            <v>0</v>
          </cell>
          <cell r="P62">
            <v>0</v>
          </cell>
          <cell r="Q62">
            <v>0</v>
          </cell>
          <cell r="R62">
            <v>0</v>
          </cell>
          <cell r="S62">
            <v>0</v>
          </cell>
          <cell r="T62">
            <v>0</v>
          </cell>
          <cell r="U62" t="str">
            <v>WK2</v>
          </cell>
        </row>
        <row r="63">
          <cell r="A63" t="str">
            <v>EX-FEAT-057</v>
          </cell>
          <cell r="B63" t="str">
            <v>Feature name - EX-FEAT-057</v>
          </cell>
          <cell r="C63" t="str">
            <v>P3</v>
          </cell>
          <cell r="D63" t="str">
            <v/>
          </cell>
          <cell r="E63" t="e">
            <v>#N/A</v>
          </cell>
          <cell r="F63" t="str">
            <v>Legacy</v>
          </cell>
          <cell r="G63" t="str">
            <v>No</v>
          </cell>
          <cell r="H63" t="str">
            <v>No</v>
          </cell>
          <cell r="I63">
            <v>0</v>
          </cell>
          <cell r="J63">
            <v>0</v>
          </cell>
          <cell r="K63">
            <v>0</v>
          </cell>
          <cell r="L63">
            <v>0</v>
          </cell>
          <cell r="M63">
            <v>0</v>
          </cell>
          <cell r="N63">
            <v>0</v>
          </cell>
          <cell r="O63">
            <v>0</v>
          </cell>
          <cell r="P63">
            <v>0</v>
          </cell>
          <cell r="Q63">
            <v>0</v>
          </cell>
          <cell r="R63">
            <v>0</v>
          </cell>
          <cell r="S63">
            <v>0</v>
          </cell>
          <cell r="T63">
            <v>0</v>
          </cell>
          <cell r="U63" t="str">
            <v>WK4</v>
          </cell>
        </row>
        <row r="64">
          <cell r="A64" t="str">
            <v>EX-FEAT-058</v>
          </cell>
          <cell r="B64" t="str">
            <v>Feature name - EX-FEAT-058</v>
          </cell>
          <cell r="C64" t="str">
            <v>P3</v>
          </cell>
          <cell r="D64" t="str">
            <v/>
          </cell>
          <cell r="E64" t="e">
            <v>#N/A</v>
          </cell>
          <cell r="F64" t="str">
            <v>Legacy</v>
          </cell>
          <cell r="G64" t="str">
            <v>No</v>
          </cell>
          <cell r="H64" t="str">
            <v>No</v>
          </cell>
          <cell r="I64">
            <v>0</v>
          </cell>
          <cell r="J64">
            <v>0</v>
          </cell>
          <cell r="K64">
            <v>0</v>
          </cell>
          <cell r="L64">
            <v>0</v>
          </cell>
          <cell r="M64">
            <v>0</v>
          </cell>
          <cell r="N64">
            <v>0</v>
          </cell>
          <cell r="O64">
            <v>0</v>
          </cell>
          <cell r="P64">
            <v>0</v>
          </cell>
          <cell r="Q64">
            <v>0</v>
          </cell>
          <cell r="R64">
            <v>0</v>
          </cell>
          <cell r="S64">
            <v>0</v>
          </cell>
          <cell r="T64">
            <v>0</v>
          </cell>
          <cell r="U64" t="str">
            <v>N/A</v>
          </cell>
        </row>
        <row r="65">
          <cell r="A65" t="str">
            <v>EX-FEAT-059</v>
          </cell>
          <cell r="B65" t="str">
            <v>Feature name - EX-FEAT-059</v>
          </cell>
          <cell r="C65" t="str">
            <v>P3</v>
          </cell>
          <cell r="D65" t="str">
            <v/>
          </cell>
          <cell r="E65" t="e">
            <v>#N/A</v>
          </cell>
          <cell r="F65" t="str">
            <v>Legacy</v>
          </cell>
          <cell r="G65" t="str">
            <v>No</v>
          </cell>
          <cell r="H65" t="str">
            <v>No</v>
          </cell>
          <cell r="I65">
            <v>0</v>
          </cell>
          <cell r="J65">
            <v>0</v>
          </cell>
          <cell r="K65">
            <v>0</v>
          </cell>
          <cell r="L65">
            <v>0</v>
          </cell>
          <cell r="M65">
            <v>0</v>
          </cell>
          <cell r="N65">
            <v>0</v>
          </cell>
          <cell r="O65">
            <v>0</v>
          </cell>
          <cell r="P65">
            <v>0</v>
          </cell>
          <cell r="Q65">
            <v>0</v>
          </cell>
          <cell r="R65">
            <v>0</v>
          </cell>
          <cell r="S65">
            <v>0</v>
          </cell>
          <cell r="T65">
            <v>0</v>
          </cell>
          <cell r="U65" t="str">
            <v>WK2</v>
          </cell>
        </row>
        <row r="66">
          <cell r="A66" t="str">
            <v>EX-FEAT-060</v>
          </cell>
          <cell r="B66" t="str">
            <v>Feature name - EX-FEAT-060</v>
          </cell>
          <cell r="C66" t="str">
            <v>P3</v>
          </cell>
          <cell r="D66" t="str">
            <v/>
          </cell>
          <cell r="E66" t="e">
            <v>#N/A</v>
          </cell>
          <cell r="F66" t="str">
            <v>Legacy</v>
          </cell>
          <cell r="G66" t="str">
            <v>No</v>
          </cell>
          <cell r="H66" t="str">
            <v>No</v>
          </cell>
          <cell r="I66">
            <v>0</v>
          </cell>
          <cell r="J66">
            <v>0</v>
          </cell>
          <cell r="K66">
            <v>0</v>
          </cell>
          <cell r="L66">
            <v>0</v>
          </cell>
          <cell r="M66">
            <v>0</v>
          </cell>
          <cell r="N66">
            <v>0</v>
          </cell>
          <cell r="O66">
            <v>0</v>
          </cell>
          <cell r="P66">
            <v>0</v>
          </cell>
          <cell r="Q66">
            <v>0</v>
          </cell>
          <cell r="R66">
            <v>0</v>
          </cell>
          <cell r="S66">
            <v>0</v>
          </cell>
          <cell r="T66">
            <v>0</v>
          </cell>
          <cell r="U66" t="str">
            <v>WK2</v>
          </cell>
        </row>
        <row r="67">
          <cell r="A67" t="str">
            <v>EX-FEAT-061</v>
          </cell>
          <cell r="B67" t="str">
            <v>Feature name - EX-FEAT-061</v>
          </cell>
          <cell r="C67" t="str">
            <v>P3</v>
          </cell>
          <cell r="D67" t="str">
            <v/>
          </cell>
          <cell r="E67" t="e">
            <v>#N/A</v>
          </cell>
          <cell r="F67" t="str">
            <v>Legacy</v>
          </cell>
          <cell r="G67" t="str">
            <v>No</v>
          </cell>
          <cell r="H67" t="str">
            <v>No</v>
          </cell>
          <cell r="I67">
            <v>0</v>
          </cell>
          <cell r="J67">
            <v>0</v>
          </cell>
          <cell r="K67">
            <v>0</v>
          </cell>
          <cell r="L67">
            <v>0</v>
          </cell>
          <cell r="M67">
            <v>0</v>
          </cell>
          <cell r="N67">
            <v>0</v>
          </cell>
          <cell r="O67">
            <v>0</v>
          </cell>
          <cell r="P67">
            <v>0</v>
          </cell>
          <cell r="Q67">
            <v>0</v>
          </cell>
          <cell r="R67">
            <v>0</v>
          </cell>
          <cell r="S67">
            <v>0</v>
          </cell>
          <cell r="T67">
            <v>0</v>
          </cell>
          <cell r="U67" t="str">
            <v>WK5</v>
          </cell>
        </row>
        <row r="68">
          <cell r="A68" t="str">
            <v>EX-FEAT-062</v>
          </cell>
          <cell r="B68" t="str">
            <v>Feature name - EX-FEAT-062</v>
          </cell>
          <cell r="C68" t="str">
            <v>P2</v>
          </cell>
          <cell r="D68" t="str">
            <v/>
          </cell>
          <cell r="E68" t="e">
            <v>#N/A</v>
          </cell>
          <cell r="F68" t="str">
            <v>New</v>
          </cell>
          <cell r="G68" t="str">
            <v>No</v>
          </cell>
          <cell r="H68" t="str">
            <v>No</v>
          </cell>
          <cell r="I68">
            <v>0</v>
          </cell>
          <cell r="J68">
            <v>0</v>
          </cell>
          <cell r="K68">
            <v>0</v>
          </cell>
          <cell r="L68">
            <v>0</v>
          </cell>
          <cell r="M68">
            <v>0</v>
          </cell>
          <cell r="N68">
            <v>0</v>
          </cell>
          <cell r="O68">
            <v>0</v>
          </cell>
          <cell r="P68">
            <v>0</v>
          </cell>
          <cell r="Q68">
            <v>0</v>
          </cell>
          <cell r="R68">
            <v>0</v>
          </cell>
          <cell r="S68">
            <v>0</v>
          </cell>
          <cell r="T68">
            <v>0</v>
          </cell>
          <cell r="U68" t="str">
            <v>WK7</v>
          </cell>
        </row>
        <row r="69">
          <cell r="A69" t="str">
            <v>EX-FEAT-063</v>
          </cell>
          <cell r="B69" t="str">
            <v>Feature name - EX-FEAT-063</v>
          </cell>
          <cell r="C69" t="str">
            <v>P2</v>
          </cell>
          <cell r="D69" t="str">
            <v/>
          </cell>
          <cell r="E69" t="e">
            <v>#N/A</v>
          </cell>
          <cell r="F69" t="str">
            <v>Legacy</v>
          </cell>
          <cell r="G69" t="str">
            <v>No</v>
          </cell>
          <cell r="H69" t="str">
            <v>No</v>
          </cell>
          <cell r="I69">
            <v>0</v>
          </cell>
          <cell r="J69">
            <v>0</v>
          </cell>
          <cell r="K69">
            <v>0</v>
          </cell>
          <cell r="L69">
            <v>0</v>
          </cell>
          <cell r="M69">
            <v>0</v>
          </cell>
          <cell r="N69">
            <v>0</v>
          </cell>
          <cell r="O69">
            <v>0</v>
          </cell>
          <cell r="P69">
            <v>0</v>
          </cell>
          <cell r="Q69">
            <v>0</v>
          </cell>
          <cell r="R69">
            <v>0</v>
          </cell>
          <cell r="S69">
            <v>0</v>
          </cell>
          <cell r="T69">
            <v>0</v>
          </cell>
          <cell r="U69" t="str">
            <v>WK5</v>
          </cell>
        </row>
        <row r="70">
          <cell r="A70" t="str">
            <v>EX-FEAT-064</v>
          </cell>
          <cell r="B70" t="str">
            <v>Feature name - EX-FEAT-064</v>
          </cell>
          <cell r="C70" t="str">
            <v>P3</v>
          </cell>
          <cell r="D70" t="str">
            <v/>
          </cell>
          <cell r="E70" t="e">
            <v>#N/A</v>
          </cell>
          <cell r="F70" t="str">
            <v>Legacy</v>
          </cell>
          <cell r="G70" t="str">
            <v>No</v>
          </cell>
          <cell r="H70" t="str">
            <v>No</v>
          </cell>
          <cell r="I70">
            <v>0</v>
          </cell>
          <cell r="J70">
            <v>0</v>
          </cell>
          <cell r="K70">
            <v>0</v>
          </cell>
          <cell r="L70">
            <v>0</v>
          </cell>
          <cell r="M70">
            <v>0</v>
          </cell>
          <cell r="N70">
            <v>0</v>
          </cell>
          <cell r="O70">
            <v>0</v>
          </cell>
          <cell r="P70">
            <v>0</v>
          </cell>
          <cell r="Q70">
            <v>0</v>
          </cell>
          <cell r="R70">
            <v>0</v>
          </cell>
          <cell r="S70">
            <v>0</v>
          </cell>
          <cell r="T70">
            <v>0</v>
          </cell>
          <cell r="U70" t="str">
            <v>WK8</v>
          </cell>
        </row>
        <row r="71">
          <cell r="A71" t="str">
            <v>EX-FEAT-065</v>
          </cell>
          <cell r="B71" t="str">
            <v>Feature name - EX-FEAT-065</v>
          </cell>
          <cell r="C71" t="str">
            <v>P3</v>
          </cell>
          <cell r="D71" t="str">
            <v/>
          </cell>
          <cell r="E71" t="e">
            <v>#N/A</v>
          </cell>
          <cell r="F71" t="str">
            <v>New</v>
          </cell>
          <cell r="G71" t="str">
            <v>No</v>
          </cell>
          <cell r="H71" t="str">
            <v>No</v>
          </cell>
          <cell r="I71">
            <v>0</v>
          </cell>
          <cell r="J71">
            <v>0</v>
          </cell>
          <cell r="K71">
            <v>0</v>
          </cell>
          <cell r="L71">
            <v>0</v>
          </cell>
          <cell r="M71">
            <v>0</v>
          </cell>
          <cell r="N71">
            <v>0</v>
          </cell>
          <cell r="O71">
            <v>0</v>
          </cell>
          <cell r="P71">
            <v>0</v>
          </cell>
          <cell r="Q71">
            <v>0</v>
          </cell>
          <cell r="R71">
            <v>0</v>
          </cell>
          <cell r="S71">
            <v>0</v>
          </cell>
          <cell r="T71">
            <v>0</v>
          </cell>
          <cell r="U71" t="str">
            <v>WK4</v>
          </cell>
        </row>
        <row r="72">
          <cell r="A72" t="str">
            <v>EX-FEAT-066</v>
          </cell>
          <cell r="B72" t="str">
            <v>Feature name - EX-FEAT-066</v>
          </cell>
          <cell r="C72" t="str">
            <v>P3</v>
          </cell>
          <cell r="D72" t="str">
            <v/>
          </cell>
          <cell r="E72" t="e">
            <v>#N/A</v>
          </cell>
          <cell r="F72" t="str">
            <v>Legacy</v>
          </cell>
          <cell r="G72" t="str">
            <v>No</v>
          </cell>
          <cell r="H72" t="str">
            <v>No</v>
          </cell>
          <cell r="I72">
            <v>0</v>
          </cell>
          <cell r="J72">
            <v>0</v>
          </cell>
          <cell r="K72">
            <v>0</v>
          </cell>
          <cell r="L72">
            <v>0</v>
          </cell>
          <cell r="M72">
            <v>0</v>
          </cell>
          <cell r="N72">
            <v>0</v>
          </cell>
          <cell r="O72">
            <v>0</v>
          </cell>
          <cell r="P72">
            <v>0</v>
          </cell>
          <cell r="Q72">
            <v>0</v>
          </cell>
          <cell r="R72">
            <v>0</v>
          </cell>
          <cell r="S72">
            <v>0</v>
          </cell>
          <cell r="T72">
            <v>0</v>
          </cell>
          <cell r="U72" t="str">
            <v>WK4</v>
          </cell>
        </row>
        <row r="73">
          <cell r="A73" t="str">
            <v>EX-FEAT-067</v>
          </cell>
          <cell r="B73" t="str">
            <v>Feature name - EX-FEAT-067</v>
          </cell>
          <cell r="C73" t="str">
            <v>P3</v>
          </cell>
          <cell r="D73" t="str">
            <v/>
          </cell>
          <cell r="E73" t="e">
            <v>#N/A</v>
          </cell>
          <cell r="F73" t="str">
            <v>Legacy</v>
          </cell>
          <cell r="G73" t="str">
            <v>No</v>
          </cell>
          <cell r="H73" t="str">
            <v>No</v>
          </cell>
          <cell r="I73">
            <v>0</v>
          </cell>
          <cell r="J73">
            <v>0</v>
          </cell>
          <cell r="K73">
            <v>0</v>
          </cell>
          <cell r="L73">
            <v>0</v>
          </cell>
          <cell r="M73">
            <v>0</v>
          </cell>
          <cell r="N73">
            <v>0</v>
          </cell>
          <cell r="O73">
            <v>0</v>
          </cell>
          <cell r="P73">
            <v>0</v>
          </cell>
          <cell r="Q73">
            <v>0</v>
          </cell>
          <cell r="R73">
            <v>0</v>
          </cell>
          <cell r="S73">
            <v>0</v>
          </cell>
          <cell r="T73">
            <v>0</v>
          </cell>
          <cell r="U73" t="str">
            <v>WK5</v>
          </cell>
        </row>
        <row r="74">
          <cell r="A74" t="str">
            <v>EX-FEAT-068</v>
          </cell>
          <cell r="B74" t="str">
            <v>Feature name - EX-FEAT-068</v>
          </cell>
          <cell r="C74" t="str">
            <v>P3</v>
          </cell>
          <cell r="D74" t="str">
            <v/>
          </cell>
          <cell r="E74" t="e">
            <v>#N/A</v>
          </cell>
          <cell r="F74" t="str">
            <v>Legacy</v>
          </cell>
          <cell r="G74" t="str">
            <v>No</v>
          </cell>
          <cell r="H74" t="str">
            <v>No</v>
          </cell>
          <cell r="I74">
            <v>0</v>
          </cell>
          <cell r="J74">
            <v>0</v>
          </cell>
          <cell r="K74">
            <v>0</v>
          </cell>
          <cell r="L74">
            <v>0</v>
          </cell>
          <cell r="M74">
            <v>0</v>
          </cell>
          <cell r="N74">
            <v>0</v>
          </cell>
          <cell r="O74">
            <v>0</v>
          </cell>
          <cell r="P74">
            <v>0</v>
          </cell>
          <cell r="Q74">
            <v>0</v>
          </cell>
          <cell r="R74">
            <v>0</v>
          </cell>
          <cell r="S74">
            <v>0</v>
          </cell>
          <cell r="T74">
            <v>0</v>
          </cell>
          <cell r="U74" t="str">
            <v>WK6</v>
          </cell>
        </row>
        <row r="75">
          <cell r="A75" t="str">
            <v>EX-FEAT-069</v>
          </cell>
          <cell r="B75" t="str">
            <v>Feature name - EX-FEAT-069</v>
          </cell>
          <cell r="C75" t="str">
            <v>P2</v>
          </cell>
          <cell r="D75" t="str">
            <v/>
          </cell>
          <cell r="E75" t="e">
            <v>#N/A</v>
          </cell>
          <cell r="F75" t="str">
            <v>Legacy</v>
          </cell>
          <cell r="G75" t="str">
            <v>No</v>
          </cell>
          <cell r="H75" t="str">
            <v>No</v>
          </cell>
          <cell r="I75">
            <v>0</v>
          </cell>
          <cell r="J75">
            <v>0</v>
          </cell>
          <cell r="K75">
            <v>0</v>
          </cell>
          <cell r="L75">
            <v>0</v>
          </cell>
          <cell r="M75">
            <v>0</v>
          </cell>
          <cell r="N75">
            <v>0</v>
          </cell>
          <cell r="O75">
            <v>0</v>
          </cell>
          <cell r="P75">
            <v>0</v>
          </cell>
          <cell r="Q75">
            <v>0</v>
          </cell>
          <cell r="R75">
            <v>0</v>
          </cell>
          <cell r="S75">
            <v>0</v>
          </cell>
          <cell r="T75">
            <v>0</v>
          </cell>
          <cell r="U75" t="str">
            <v>WK7</v>
          </cell>
        </row>
        <row r="76">
          <cell r="A76" t="str">
            <v>EX-FEAT-070</v>
          </cell>
          <cell r="B76" t="str">
            <v>Feature name - EX-FEAT-070</v>
          </cell>
          <cell r="C76" t="str">
            <v>P3</v>
          </cell>
          <cell r="D76" t="str">
            <v/>
          </cell>
          <cell r="E76" t="e">
            <v>#N/A</v>
          </cell>
          <cell r="F76" t="str">
            <v>Legacy</v>
          </cell>
          <cell r="G76" t="str">
            <v>No</v>
          </cell>
          <cell r="H76" t="str">
            <v>No</v>
          </cell>
          <cell r="I76">
            <v>0</v>
          </cell>
          <cell r="J76">
            <v>0</v>
          </cell>
          <cell r="K76">
            <v>0</v>
          </cell>
          <cell r="L76">
            <v>0</v>
          </cell>
          <cell r="M76">
            <v>0</v>
          </cell>
          <cell r="N76">
            <v>0</v>
          </cell>
          <cell r="O76">
            <v>0</v>
          </cell>
          <cell r="P76">
            <v>0</v>
          </cell>
          <cell r="Q76">
            <v>0</v>
          </cell>
          <cell r="R76">
            <v>0</v>
          </cell>
          <cell r="S76">
            <v>0</v>
          </cell>
          <cell r="T76">
            <v>0</v>
          </cell>
          <cell r="U76" t="str">
            <v>WK5</v>
          </cell>
        </row>
        <row r="77">
          <cell r="A77" t="str">
            <v>EX-FEAT-071</v>
          </cell>
          <cell r="B77" t="str">
            <v>Feature name - EX-FEAT-071</v>
          </cell>
          <cell r="C77" t="str">
            <v>P3</v>
          </cell>
          <cell r="D77" t="str">
            <v/>
          </cell>
          <cell r="E77" t="e">
            <v>#N/A</v>
          </cell>
          <cell r="F77" t="str">
            <v>Legacy</v>
          </cell>
          <cell r="G77" t="str">
            <v>No</v>
          </cell>
          <cell r="H77" t="str">
            <v>No</v>
          </cell>
          <cell r="I77">
            <v>0</v>
          </cell>
          <cell r="J77">
            <v>0</v>
          </cell>
          <cell r="K77">
            <v>0</v>
          </cell>
          <cell r="L77">
            <v>0</v>
          </cell>
          <cell r="M77">
            <v>0</v>
          </cell>
          <cell r="N77">
            <v>0</v>
          </cell>
          <cell r="O77">
            <v>0</v>
          </cell>
          <cell r="P77">
            <v>0</v>
          </cell>
          <cell r="Q77">
            <v>0</v>
          </cell>
          <cell r="R77">
            <v>0</v>
          </cell>
          <cell r="S77">
            <v>0</v>
          </cell>
          <cell r="T77">
            <v>0</v>
          </cell>
          <cell r="U77" t="str">
            <v>WK5</v>
          </cell>
        </row>
        <row r="78">
          <cell r="A78" t="str">
            <v>EX-FEAT-072</v>
          </cell>
          <cell r="B78" t="str">
            <v>Feature name - EX-FEAT-072</v>
          </cell>
          <cell r="C78" t="str">
            <v>P2</v>
          </cell>
          <cell r="D78" t="str">
            <v/>
          </cell>
          <cell r="E78" t="e">
            <v>#N/A</v>
          </cell>
          <cell r="F78" t="str">
            <v>Legacy</v>
          </cell>
          <cell r="G78" t="str">
            <v>No</v>
          </cell>
          <cell r="H78" t="str">
            <v>No</v>
          </cell>
          <cell r="I78">
            <v>0</v>
          </cell>
          <cell r="J78">
            <v>0</v>
          </cell>
          <cell r="K78">
            <v>0</v>
          </cell>
          <cell r="L78">
            <v>0</v>
          </cell>
          <cell r="M78">
            <v>0</v>
          </cell>
          <cell r="N78">
            <v>0</v>
          </cell>
          <cell r="O78">
            <v>0</v>
          </cell>
          <cell r="P78">
            <v>0</v>
          </cell>
          <cell r="Q78">
            <v>0</v>
          </cell>
          <cell r="R78">
            <v>0</v>
          </cell>
          <cell r="S78">
            <v>0</v>
          </cell>
          <cell r="T78">
            <v>0</v>
          </cell>
          <cell r="U78" t="str">
            <v>WK5</v>
          </cell>
        </row>
        <row r="79">
          <cell r="A79" t="str">
            <v>EX-FEAT-073</v>
          </cell>
          <cell r="B79" t="str">
            <v>Feature name - EX-FEAT-073</v>
          </cell>
          <cell r="C79" t="str">
            <v>P3</v>
          </cell>
          <cell r="D79" t="str">
            <v/>
          </cell>
          <cell r="E79" t="e">
            <v>#N/A</v>
          </cell>
          <cell r="F79" t="str">
            <v>Legacy</v>
          </cell>
          <cell r="G79" t="str">
            <v>No</v>
          </cell>
          <cell r="H79" t="str">
            <v>No</v>
          </cell>
          <cell r="I79">
            <v>0</v>
          </cell>
          <cell r="J79">
            <v>0</v>
          </cell>
          <cell r="K79">
            <v>0</v>
          </cell>
          <cell r="L79">
            <v>0</v>
          </cell>
          <cell r="M79">
            <v>0</v>
          </cell>
          <cell r="N79">
            <v>0</v>
          </cell>
          <cell r="O79">
            <v>0</v>
          </cell>
          <cell r="P79">
            <v>0</v>
          </cell>
          <cell r="Q79">
            <v>0</v>
          </cell>
          <cell r="R79">
            <v>0</v>
          </cell>
          <cell r="S79">
            <v>0</v>
          </cell>
          <cell r="T79">
            <v>0</v>
          </cell>
          <cell r="U79" t="str">
            <v>WK8</v>
          </cell>
        </row>
        <row r="80">
          <cell r="A80" t="str">
            <v>EX-FEAT-074</v>
          </cell>
          <cell r="B80" t="str">
            <v>Feature name - EX-FEAT-074</v>
          </cell>
          <cell r="C80" t="str">
            <v>P3</v>
          </cell>
          <cell r="D80" t="str">
            <v/>
          </cell>
          <cell r="E80" t="e">
            <v>#N/A</v>
          </cell>
          <cell r="F80" t="str">
            <v>Legacy</v>
          </cell>
          <cell r="G80" t="str">
            <v>No</v>
          </cell>
          <cell r="H80" t="str">
            <v>No</v>
          </cell>
          <cell r="I80">
            <v>0</v>
          </cell>
          <cell r="J80">
            <v>0</v>
          </cell>
          <cell r="K80">
            <v>0</v>
          </cell>
          <cell r="L80">
            <v>0</v>
          </cell>
          <cell r="M80">
            <v>0</v>
          </cell>
          <cell r="N80">
            <v>0</v>
          </cell>
          <cell r="O80">
            <v>0</v>
          </cell>
          <cell r="P80">
            <v>0</v>
          </cell>
          <cell r="Q80">
            <v>0</v>
          </cell>
          <cell r="R80">
            <v>0</v>
          </cell>
          <cell r="S80">
            <v>0</v>
          </cell>
          <cell r="T80">
            <v>0</v>
          </cell>
          <cell r="U80" t="str">
            <v>N/A</v>
          </cell>
        </row>
        <row r="81">
          <cell r="A81" t="str">
            <v>EX-FEAT-075</v>
          </cell>
          <cell r="B81" t="str">
            <v>Feature name - EX-FEAT-075</v>
          </cell>
          <cell r="C81" t="str">
            <v>P3</v>
          </cell>
          <cell r="D81" t="str">
            <v/>
          </cell>
          <cell r="E81" t="e">
            <v>#N/A</v>
          </cell>
          <cell r="F81" t="str">
            <v>Legacy</v>
          </cell>
          <cell r="G81" t="str">
            <v>No</v>
          </cell>
          <cell r="H81" t="str">
            <v>No</v>
          </cell>
          <cell r="I81">
            <v>0</v>
          </cell>
          <cell r="J81">
            <v>0</v>
          </cell>
          <cell r="K81">
            <v>0</v>
          </cell>
          <cell r="L81">
            <v>0</v>
          </cell>
          <cell r="M81">
            <v>0</v>
          </cell>
          <cell r="N81">
            <v>0</v>
          </cell>
          <cell r="O81">
            <v>0</v>
          </cell>
          <cell r="P81">
            <v>0</v>
          </cell>
          <cell r="Q81">
            <v>0</v>
          </cell>
          <cell r="R81">
            <v>0</v>
          </cell>
          <cell r="S81">
            <v>0</v>
          </cell>
          <cell r="T81">
            <v>0</v>
          </cell>
          <cell r="U81" t="str">
            <v>WK7</v>
          </cell>
        </row>
        <row r="82">
          <cell r="A82" t="str">
            <v>EX-FEAT-076</v>
          </cell>
          <cell r="B82" t="str">
            <v>Feature name - EX-FEAT-076</v>
          </cell>
          <cell r="C82" t="str">
            <v>P3</v>
          </cell>
          <cell r="D82" t="str">
            <v/>
          </cell>
          <cell r="E82" t="e">
            <v>#N/A</v>
          </cell>
          <cell r="F82" t="str">
            <v>Legacy</v>
          </cell>
          <cell r="G82" t="str">
            <v>No</v>
          </cell>
          <cell r="H82" t="str">
            <v>No</v>
          </cell>
          <cell r="I82">
            <v>0</v>
          </cell>
          <cell r="J82">
            <v>0</v>
          </cell>
          <cell r="K82">
            <v>0</v>
          </cell>
          <cell r="L82">
            <v>0</v>
          </cell>
          <cell r="M82">
            <v>0</v>
          </cell>
          <cell r="N82">
            <v>0</v>
          </cell>
          <cell r="O82">
            <v>0</v>
          </cell>
          <cell r="P82">
            <v>0</v>
          </cell>
          <cell r="Q82">
            <v>0</v>
          </cell>
          <cell r="R82">
            <v>0</v>
          </cell>
          <cell r="S82">
            <v>0</v>
          </cell>
          <cell r="T82">
            <v>0</v>
          </cell>
          <cell r="U82" t="str">
            <v>WK5</v>
          </cell>
        </row>
        <row r="83">
          <cell r="A83" t="str">
            <v>EX-FEAT-077</v>
          </cell>
          <cell r="B83" t="str">
            <v>Feature name - EX-FEAT-077</v>
          </cell>
          <cell r="C83" t="str">
            <v>P2</v>
          </cell>
          <cell r="D83" t="str">
            <v/>
          </cell>
          <cell r="E83" t="e">
            <v>#N/A</v>
          </cell>
          <cell r="F83" t="str">
            <v>Legacy</v>
          </cell>
          <cell r="G83" t="str">
            <v>No</v>
          </cell>
          <cell r="H83" t="str">
            <v>No</v>
          </cell>
          <cell r="I83">
            <v>0</v>
          </cell>
          <cell r="J83">
            <v>0</v>
          </cell>
          <cell r="K83">
            <v>0</v>
          </cell>
          <cell r="L83">
            <v>0</v>
          </cell>
          <cell r="M83">
            <v>0</v>
          </cell>
          <cell r="N83">
            <v>0</v>
          </cell>
          <cell r="O83">
            <v>0</v>
          </cell>
          <cell r="P83">
            <v>0</v>
          </cell>
          <cell r="Q83">
            <v>0</v>
          </cell>
          <cell r="R83">
            <v>0</v>
          </cell>
          <cell r="S83">
            <v>0</v>
          </cell>
          <cell r="T83">
            <v>0</v>
          </cell>
          <cell r="U83" t="str">
            <v>WK6</v>
          </cell>
        </row>
        <row r="84">
          <cell r="A84" t="str">
            <v>EX-FEAT-078</v>
          </cell>
          <cell r="B84" t="str">
            <v>Feature name - EX-FEAT-078</v>
          </cell>
          <cell r="C84" t="str">
            <v>P2</v>
          </cell>
          <cell r="D84" t="str">
            <v/>
          </cell>
          <cell r="E84" t="e">
            <v>#N/A</v>
          </cell>
          <cell r="F84" t="str">
            <v>Legacy</v>
          </cell>
          <cell r="G84" t="str">
            <v>No</v>
          </cell>
          <cell r="H84" t="str">
            <v>No</v>
          </cell>
          <cell r="I84">
            <v>0</v>
          </cell>
          <cell r="J84">
            <v>0</v>
          </cell>
          <cell r="K84">
            <v>0</v>
          </cell>
          <cell r="L84">
            <v>0</v>
          </cell>
          <cell r="M84">
            <v>0</v>
          </cell>
          <cell r="N84">
            <v>0</v>
          </cell>
          <cell r="O84">
            <v>0</v>
          </cell>
          <cell r="P84">
            <v>0</v>
          </cell>
          <cell r="Q84">
            <v>0</v>
          </cell>
          <cell r="R84">
            <v>0</v>
          </cell>
          <cell r="S84">
            <v>0</v>
          </cell>
          <cell r="T84">
            <v>0</v>
          </cell>
          <cell r="U84" t="str">
            <v>WK8</v>
          </cell>
        </row>
        <row r="85">
          <cell r="A85" t="str">
            <v>EX-FEAT-079</v>
          </cell>
          <cell r="B85" t="str">
            <v>Feature name - EX-FEAT-079</v>
          </cell>
          <cell r="C85" t="str">
            <v>P3</v>
          </cell>
          <cell r="D85" t="str">
            <v/>
          </cell>
          <cell r="E85" t="e">
            <v>#N/A</v>
          </cell>
          <cell r="F85" t="str">
            <v>Legacy</v>
          </cell>
          <cell r="G85" t="str">
            <v>No</v>
          </cell>
          <cell r="H85" t="str">
            <v>No</v>
          </cell>
          <cell r="I85">
            <v>0</v>
          </cell>
          <cell r="J85">
            <v>0</v>
          </cell>
          <cell r="K85">
            <v>0</v>
          </cell>
          <cell r="L85">
            <v>0</v>
          </cell>
          <cell r="M85">
            <v>0</v>
          </cell>
          <cell r="N85">
            <v>0</v>
          </cell>
          <cell r="O85">
            <v>0</v>
          </cell>
          <cell r="P85">
            <v>0</v>
          </cell>
          <cell r="Q85">
            <v>0</v>
          </cell>
          <cell r="R85">
            <v>0</v>
          </cell>
          <cell r="S85">
            <v>0</v>
          </cell>
          <cell r="T85">
            <v>0</v>
          </cell>
          <cell r="U85" t="str">
            <v>WK5</v>
          </cell>
        </row>
        <row r="86">
          <cell r="A86" t="str">
            <v>EX-FEAT-080</v>
          </cell>
          <cell r="B86" t="str">
            <v>Feature name - EX-FEAT-080</v>
          </cell>
          <cell r="C86" t="str">
            <v>P3</v>
          </cell>
          <cell r="D86" t="str">
            <v/>
          </cell>
          <cell r="E86" t="e">
            <v>#N/A</v>
          </cell>
          <cell r="F86" t="str">
            <v>Legacy</v>
          </cell>
          <cell r="G86" t="str">
            <v>No</v>
          </cell>
          <cell r="H86" t="str">
            <v>No</v>
          </cell>
          <cell r="I86">
            <v>0</v>
          </cell>
          <cell r="J86">
            <v>0</v>
          </cell>
          <cell r="K86">
            <v>0</v>
          </cell>
          <cell r="L86">
            <v>0</v>
          </cell>
          <cell r="M86">
            <v>0</v>
          </cell>
          <cell r="N86">
            <v>0</v>
          </cell>
          <cell r="O86">
            <v>0</v>
          </cell>
          <cell r="P86">
            <v>0</v>
          </cell>
          <cell r="Q86">
            <v>0</v>
          </cell>
          <cell r="R86">
            <v>0</v>
          </cell>
          <cell r="S86">
            <v>0</v>
          </cell>
          <cell r="T86">
            <v>0</v>
          </cell>
          <cell r="U86" t="str">
            <v>WK5</v>
          </cell>
        </row>
        <row r="87">
          <cell r="A87" t="str">
            <v>EX-FEAT-081</v>
          </cell>
          <cell r="B87" t="str">
            <v>Feature name - EX-FEAT-081</v>
          </cell>
          <cell r="C87" t="str">
            <v>P3</v>
          </cell>
          <cell r="D87" t="str">
            <v/>
          </cell>
          <cell r="E87" t="e">
            <v>#N/A</v>
          </cell>
          <cell r="F87" t="str">
            <v>Legacy</v>
          </cell>
          <cell r="G87" t="str">
            <v>No</v>
          </cell>
          <cell r="H87" t="str">
            <v>No</v>
          </cell>
          <cell r="I87">
            <v>0</v>
          </cell>
          <cell r="J87">
            <v>0</v>
          </cell>
          <cell r="K87">
            <v>0</v>
          </cell>
          <cell r="L87">
            <v>0</v>
          </cell>
          <cell r="M87">
            <v>0</v>
          </cell>
          <cell r="N87">
            <v>0</v>
          </cell>
          <cell r="O87">
            <v>0</v>
          </cell>
          <cell r="P87">
            <v>0</v>
          </cell>
          <cell r="Q87">
            <v>0</v>
          </cell>
          <cell r="R87">
            <v>0</v>
          </cell>
          <cell r="S87">
            <v>0</v>
          </cell>
          <cell r="T87">
            <v>0</v>
          </cell>
          <cell r="U87" t="str">
            <v>WK5</v>
          </cell>
        </row>
        <row r="88">
          <cell r="A88" t="str">
            <v>EX-FEAT-082</v>
          </cell>
          <cell r="B88" t="str">
            <v>Feature name - EX-FEAT-082</v>
          </cell>
          <cell r="C88" t="str">
            <v>P3</v>
          </cell>
          <cell r="D88" t="str">
            <v/>
          </cell>
          <cell r="E88" t="e">
            <v>#N/A</v>
          </cell>
          <cell r="F88" t="str">
            <v>Legacy</v>
          </cell>
          <cell r="G88" t="str">
            <v>No</v>
          </cell>
          <cell r="H88" t="str">
            <v>No</v>
          </cell>
          <cell r="I88">
            <v>0</v>
          </cell>
          <cell r="J88">
            <v>0</v>
          </cell>
          <cell r="K88">
            <v>0</v>
          </cell>
          <cell r="L88">
            <v>0</v>
          </cell>
          <cell r="M88">
            <v>0</v>
          </cell>
          <cell r="N88">
            <v>0</v>
          </cell>
          <cell r="O88">
            <v>0</v>
          </cell>
          <cell r="P88">
            <v>0</v>
          </cell>
          <cell r="Q88">
            <v>0</v>
          </cell>
          <cell r="R88">
            <v>0</v>
          </cell>
          <cell r="S88">
            <v>0</v>
          </cell>
          <cell r="T88">
            <v>0</v>
          </cell>
          <cell r="U88" t="str">
            <v>WK8</v>
          </cell>
        </row>
        <row r="89">
          <cell r="A89" t="str">
            <v>EX-FEAT-083</v>
          </cell>
          <cell r="B89" t="str">
            <v>Feature name - EX-FEAT-083</v>
          </cell>
          <cell r="C89" t="str">
            <v>P3</v>
          </cell>
          <cell r="D89" t="str">
            <v/>
          </cell>
          <cell r="E89" t="e">
            <v>#N/A</v>
          </cell>
          <cell r="F89" t="str">
            <v>Legacy</v>
          </cell>
          <cell r="G89" t="str">
            <v>No</v>
          </cell>
          <cell r="H89" t="str">
            <v>No</v>
          </cell>
          <cell r="I89">
            <v>0</v>
          </cell>
          <cell r="J89">
            <v>0</v>
          </cell>
          <cell r="K89">
            <v>0</v>
          </cell>
          <cell r="L89">
            <v>0</v>
          </cell>
          <cell r="M89">
            <v>0</v>
          </cell>
          <cell r="N89">
            <v>0</v>
          </cell>
          <cell r="O89">
            <v>0</v>
          </cell>
          <cell r="P89">
            <v>0</v>
          </cell>
          <cell r="Q89">
            <v>0</v>
          </cell>
          <cell r="R89">
            <v>0</v>
          </cell>
          <cell r="S89">
            <v>0</v>
          </cell>
          <cell r="T89">
            <v>0</v>
          </cell>
          <cell r="U89" t="str">
            <v>WK5</v>
          </cell>
        </row>
        <row r="90">
          <cell r="A90" t="str">
            <v>EX-FEAT-084</v>
          </cell>
          <cell r="B90" t="str">
            <v>Feature name - EX-FEAT-084</v>
          </cell>
          <cell r="C90" t="str">
            <v>P2</v>
          </cell>
          <cell r="D90" t="str">
            <v/>
          </cell>
          <cell r="E90" t="e">
            <v>#N/A</v>
          </cell>
          <cell r="F90" t="str">
            <v>Legacy</v>
          </cell>
          <cell r="G90" t="str">
            <v>No</v>
          </cell>
          <cell r="H90" t="str">
            <v>No</v>
          </cell>
          <cell r="I90">
            <v>0</v>
          </cell>
          <cell r="J90">
            <v>0</v>
          </cell>
          <cell r="K90">
            <v>0</v>
          </cell>
          <cell r="L90">
            <v>0</v>
          </cell>
          <cell r="M90">
            <v>0</v>
          </cell>
          <cell r="N90">
            <v>0</v>
          </cell>
          <cell r="O90">
            <v>0</v>
          </cell>
          <cell r="P90">
            <v>0</v>
          </cell>
          <cell r="Q90">
            <v>0</v>
          </cell>
          <cell r="R90">
            <v>0</v>
          </cell>
          <cell r="S90">
            <v>0</v>
          </cell>
          <cell r="T90">
            <v>0</v>
          </cell>
          <cell r="U90" t="str">
            <v>WK6</v>
          </cell>
        </row>
        <row r="91">
          <cell r="A91" t="str">
            <v>EX-FEAT-085</v>
          </cell>
          <cell r="B91" t="str">
            <v>Feature name - EX-FEAT-085</v>
          </cell>
          <cell r="C91" t="str">
            <v>P2</v>
          </cell>
          <cell r="D91" t="str">
            <v/>
          </cell>
          <cell r="E91" t="e">
            <v>#N/A</v>
          </cell>
          <cell r="F91" t="str">
            <v>Legacy</v>
          </cell>
          <cell r="G91" t="str">
            <v>No</v>
          </cell>
          <cell r="H91" t="str">
            <v>No</v>
          </cell>
          <cell r="I91">
            <v>0</v>
          </cell>
          <cell r="J91">
            <v>0</v>
          </cell>
          <cell r="K91">
            <v>0</v>
          </cell>
          <cell r="L91">
            <v>0</v>
          </cell>
          <cell r="M91">
            <v>0</v>
          </cell>
          <cell r="N91">
            <v>0</v>
          </cell>
          <cell r="O91">
            <v>0</v>
          </cell>
          <cell r="P91">
            <v>0</v>
          </cell>
          <cell r="Q91">
            <v>0</v>
          </cell>
          <cell r="R91">
            <v>0</v>
          </cell>
          <cell r="S91">
            <v>0</v>
          </cell>
          <cell r="T91">
            <v>0</v>
          </cell>
          <cell r="U91" t="str">
            <v>WK7</v>
          </cell>
        </row>
        <row r="92">
          <cell r="A92" t="str">
            <v>EX-FEAT-086</v>
          </cell>
          <cell r="B92" t="str">
            <v>Feature name - EX-FEAT-086</v>
          </cell>
          <cell r="C92" t="str">
            <v>P3</v>
          </cell>
          <cell r="D92" t="str">
            <v/>
          </cell>
          <cell r="E92" t="e">
            <v>#N/A</v>
          </cell>
          <cell r="F92" t="str">
            <v>Legacy</v>
          </cell>
          <cell r="G92" t="str">
            <v>No</v>
          </cell>
          <cell r="H92" t="str">
            <v>No</v>
          </cell>
          <cell r="I92">
            <v>0</v>
          </cell>
          <cell r="J92">
            <v>0</v>
          </cell>
          <cell r="K92">
            <v>0</v>
          </cell>
          <cell r="L92">
            <v>0</v>
          </cell>
          <cell r="M92">
            <v>0</v>
          </cell>
          <cell r="N92">
            <v>0</v>
          </cell>
          <cell r="O92">
            <v>0</v>
          </cell>
          <cell r="P92">
            <v>0</v>
          </cell>
          <cell r="Q92">
            <v>0</v>
          </cell>
          <cell r="R92">
            <v>0</v>
          </cell>
          <cell r="S92">
            <v>0</v>
          </cell>
          <cell r="T92">
            <v>0</v>
          </cell>
          <cell r="U92" t="str">
            <v>WK8</v>
          </cell>
        </row>
        <row r="93">
          <cell r="A93" t="str">
            <v>EX-FEAT-087</v>
          </cell>
          <cell r="B93" t="str">
            <v>Feature name - EX-FEAT-087</v>
          </cell>
          <cell r="C93" t="str">
            <v>P3</v>
          </cell>
          <cell r="D93" t="str">
            <v/>
          </cell>
          <cell r="E93" t="e">
            <v>#N/A</v>
          </cell>
          <cell r="F93" t="str">
            <v>Legacy</v>
          </cell>
          <cell r="G93" t="str">
            <v>No</v>
          </cell>
          <cell r="H93" t="str">
            <v>No</v>
          </cell>
          <cell r="I93">
            <v>0</v>
          </cell>
          <cell r="J93">
            <v>0</v>
          </cell>
          <cell r="K93">
            <v>0</v>
          </cell>
          <cell r="L93">
            <v>0</v>
          </cell>
          <cell r="M93">
            <v>0</v>
          </cell>
          <cell r="N93">
            <v>0</v>
          </cell>
          <cell r="O93">
            <v>0</v>
          </cell>
          <cell r="P93">
            <v>0</v>
          </cell>
          <cell r="Q93">
            <v>0</v>
          </cell>
          <cell r="R93">
            <v>0</v>
          </cell>
          <cell r="S93">
            <v>0</v>
          </cell>
          <cell r="T93">
            <v>0</v>
          </cell>
          <cell r="U93" t="str">
            <v>WK8</v>
          </cell>
        </row>
        <row r="94">
          <cell r="A94" t="str">
            <v>EX-FEAT-088</v>
          </cell>
          <cell r="B94" t="str">
            <v>Feature name - EX-FEAT-088</v>
          </cell>
          <cell r="C94" t="str">
            <v>P3</v>
          </cell>
          <cell r="D94" t="str">
            <v/>
          </cell>
          <cell r="E94" t="e">
            <v>#N/A</v>
          </cell>
          <cell r="F94" t="str">
            <v>Legacy</v>
          </cell>
          <cell r="G94" t="str">
            <v>No</v>
          </cell>
          <cell r="H94" t="str">
            <v>No</v>
          </cell>
          <cell r="I94">
            <v>0</v>
          </cell>
          <cell r="J94">
            <v>0</v>
          </cell>
          <cell r="K94">
            <v>0</v>
          </cell>
          <cell r="L94">
            <v>0</v>
          </cell>
          <cell r="M94">
            <v>0</v>
          </cell>
          <cell r="N94">
            <v>0</v>
          </cell>
          <cell r="O94">
            <v>0</v>
          </cell>
          <cell r="P94">
            <v>0</v>
          </cell>
          <cell r="Q94">
            <v>0</v>
          </cell>
          <cell r="R94">
            <v>0</v>
          </cell>
          <cell r="S94">
            <v>0</v>
          </cell>
          <cell r="T94">
            <v>0</v>
          </cell>
          <cell r="U94" t="str">
            <v>WK7</v>
          </cell>
        </row>
        <row r="95">
          <cell r="A95" t="str">
            <v>EX-FEAT-089</v>
          </cell>
          <cell r="B95" t="str">
            <v>Feature name - EX-FEAT-089</v>
          </cell>
          <cell r="C95" t="str">
            <v>P3</v>
          </cell>
          <cell r="D95" t="str">
            <v/>
          </cell>
          <cell r="E95" t="e">
            <v>#N/A</v>
          </cell>
          <cell r="F95" t="str">
            <v>Legacy</v>
          </cell>
          <cell r="G95" t="str">
            <v>No</v>
          </cell>
          <cell r="H95" t="str">
            <v>No</v>
          </cell>
          <cell r="I95">
            <v>0</v>
          </cell>
          <cell r="J95">
            <v>0</v>
          </cell>
          <cell r="K95">
            <v>0</v>
          </cell>
          <cell r="L95">
            <v>0</v>
          </cell>
          <cell r="M95">
            <v>0</v>
          </cell>
          <cell r="N95">
            <v>0</v>
          </cell>
          <cell r="O95">
            <v>0</v>
          </cell>
          <cell r="P95">
            <v>0</v>
          </cell>
          <cell r="Q95">
            <v>0</v>
          </cell>
          <cell r="R95">
            <v>0</v>
          </cell>
          <cell r="S95">
            <v>0</v>
          </cell>
          <cell r="T95">
            <v>0</v>
          </cell>
          <cell r="U95" t="str">
            <v>WK6</v>
          </cell>
        </row>
        <row r="96">
          <cell r="A96" t="str">
            <v>EX-FEAT-090</v>
          </cell>
          <cell r="B96" t="str">
            <v>Feature name - EX-FEAT-090</v>
          </cell>
          <cell r="C96" t="str">
            <v>P2</v>
          </cell>
          <cell r="D96" t="str">
            <v/>
          </cell>
          <cell r="E96" t="e">
            <v>#N/A</v>
          </cell>
          <cell r="F96" t="str">
            <v>Legacy</v>
          </cell>
          <cell r="G96" t="str">
            <v>No</v>
          </cell>
          <cell r="H96" t="str">
            <v>No</v>
          </cell>
          <cell r="I96">
            <v>0</v>
          </cell>
          <cell r="J96">
            <v>0</v>
          </cell>
          <cell r="K96">
            <v>0</v>
          </cell>
          <cell r="L96">
            <v>0</v>
          </cell>
          <cell r="M96">
            <v>0</v>
          </cell>
          <cell r="N96">
            <v>0</v>
          </cell>
          <cell r="O96">
            <v>0</v>
          </cell>
          <cell r="P96">
            <v>0</v>
          </cell>
          <cell r="Q96">
            <v>0</v>
          </cell>
          <cell r="R96">
            <v>0</v>
          </cell>
          <cell r="S96">
            <v>0</v>
          </cell>
          <cell r="T96">
            <v>0</v>
          </cell>
          <cell r="U96" t="str">
            <v>WK7</v>
          </cell>
        </row>
        <row r="97">
          <cell r="A97" t="str">
            <v>EX-FEAT-091</v>
          </cell>
          <cell r="B97" t="str">
            <v>Feature name - EX-FEAT-091</v>
          </cell>
          <cell r="C97" t="str">
            <v>P3</v>
          </cell>
          <cell r="D97" t="str">
            <v/>
          </cell>
          <cell r="E97" t="e">
            <v>#N/A</v>
          </cell>
          <cell r="F97" t="str">
            <v>Legacy</v>
          </cell>
          <cell r="G97" t="str">
            <v>No</v>
          </cell>
          <cell r="H97" t="str">
            <v>No</v>
          </cell>
          <cell r="I97">
            <v>0</v>
          </cell>
          <cell r="J97">
            <v>0</v>
          </cell>
          <cell r="K97">
            <v>0</v>
          </cell>
          <cell r="L97">
            <v>0</v>
          </cell>
          <cell r="M97">
            <v>0</v>
          </cell>
          <cell r="N97">
            <v>0</v>
          </cell>
          <cell r="O97">
            <v>0</v>
          </cell>
          <cell r="P97">
            <v>0</v>
          </cell>
          <cell r="Q97">
            <v>0</v>
          </cell>
          <cell r="R97">
            <v>0</v>
          </cell>
          <cell r="S97">
            <v>0</v>
          </cell>
          <cell r="T97">
            <v>0</v>
          </cell>
          <cell r="U97" t="str">
            <v>WK7</v>
          </cell>
        </row>
        <row r="98">
          <cell r="A98" t="str">
            <v>EX-FEAT-092</v>
          </cell>
          <cell r="B98" t="str">
            <v>Feature name - EX-FEAT-092</v>
          </cell>
          <cell r="C98" t="str">
            <v>P3</v>
          </cell>
          <cell r="D98" t="str">
            <v/>
          </cell>
          <cell r="E98" t="e">
            <v>#N/A</v>
          </cell>
          <cell r="F98" t="str">
            <v>New</v>
          </cell>
          <cell r="G98" t="str">
            <v>No</v>
          </cell>
          <cell r="H98" t="str">
            <v>No</v>
          </cell>
          <cell r="I98">
            <v>0</v>
          </cell>
          <cell r="J98">
            <v>0</v>
          </cell>
          <cell r="K98">
            <v>0</v>
          </cell>
          <cell r="L98">
            <v>0</v>
          </cell>
          <cell r="M98">
            <v>0</v>
          </cell>
          <cell r="N98">
            <v>0</v>
          </cell>
          <cell r="O98">
            <v>0</v>
          </cell>
          <cell r="P98">
            <v>0</v>
          </cell>
          <cell r="Q98">
            <v>0</v>
          </cell>
          <cell r="R98">
            <v>0</v>
          </cell>
          <cell r="S98">
            <v>0</v>
          </cell>
          <cell r="T98">
            <v>0</v>
          </cell>
          <cell r="U98" t="str">
            <v>WK6</v>
          </cell>
        </row>
        <row r="99">
          <cell r="A99" t="str">
            <v>EX-FEAT-093</v>
          </cell>
          <cell r="B99" t="str">
            <v>Feature name - EX-FEAT-093</v>
          </cell>
          <cell r="C99" t="str">
            <v>P2</v>
          </cell>
          <cell r="D99" t="str">
            <v/>
          </cell>
          <cell r="E99" t="e">
            <v>#N/A</v>
          </cell>
          <cell r="F99" t="str">
            <v>Legacy</v>
          </cell>
          <cell r="G99" t="str">
            <v>No</v>
          </cell>
          <cell r="H99" t="str">
            <v>No</v>
          </cell>
          <cell r="I99">
            <v>0</v>
          </cell>
          <cell r="J99">
            <v>0</v>
          </cell>
          <cell r="K99">
            <v>0</v>
          </cell>
          <cell r="L99">
            <v>0</v>
          </cell>
          <cell r="M99">
            <v>0</v>
          </cell>
          <cell r="N99">
            <v>0</v>
          </cell>
          <cell r="O99">
            <v>0</v>
          </cell>
          <cell r="P99">
            <v>0</v>
          </cell>
          <cell r="Q99">
            <v>0</v>
          </cell>
          <cell r="R99">
            <v>0</v>
          </cell>
          <cell r="S99">
            <v>0</v>
          </cell>
          <cell r="T99">
            <v>0</v>
          </cell>
          <cell r="U99" t="str">
            <v>WK6</v>
          </cell>
        </row>
        <row r="100">
          <cell r="A100" t="str">
            <v>EX-FEAT-094</v>
          </cell>
          <cell r="B100" t="str">
            <v>Feature name - EX-FEAT-094</v>
          </cell>
          <cell r="C100" t="str">
            <v>P3</v>
          </cell>
          <cell r="D100" t="str">
            <v/>
          </cell>
          <cell r="E100" t="e">
            <v>#N/A</v>
          </cell>
          <cell r="F100" t="str">
            <v>Legacy</v>
          </cell>
          <cell r="G100" t="str">
            <v>No</v>
          </cell>
          <cell r="H100" t="str">
            <v>No</v>
          </cell>
          <cell r="I100">
            <v>0</v>
          </cell>
          <cell r="J100">
            <v>0</v>
          </cell>
          <cell r="K100">
            <v>0</v>
          </cell>
          <cell r="L100">
            <v>0</v>
          </cell>
          <cell r="M100">
            <v>0</v>
          </cell>
          <cell r="N100">
            <v>0</v>
          </cell>
          <cell r="O100">
            <v>0</v>
          </cell>
          <cell r="P100">
            <v>0</v>
          </cell>
          <cell r="Q100">
            <v>0</v>
          </cell>
          <cell r="R100">
            <v>0</v>
          </cell>
          <cell r="S100">
            <v>0</v>
          </cell>
          <cell r="T100">
            <v>0</v>
          </cell>
          <cell r="U100" t="str">
            <v>WK6</v>
          </cell>
        </row>
        <row r="101">
          <cell r="A101" t="str">
            <v>EX-FEAT-095</v>
          </cell>
          <cell r="B101" t="str">
            <v>Feature name - EX-FEAT-095</v>
          </cell>
          <cell r="C101" t="str">
            <v>P3</v>
          </cell>
          <cell r="D101" t="str">
            <v/>
          </cell>
          <cell r="E101" t="e">
            <v>#N/A</v>
          </cell>
          <cell r="F101" t="str">
            <v>Legacy</v>
          </cell>
          <cell r="G101" t="str">
            <v>No</v>
          </cell>
          <cell r="H101" t="str">
            <v>No</v>
          </cell>
          <cell r="I101">
            <v>0</v>
          </cell>
          <cell r="J101">
            <v>0</v>
          </cell>
          <cell r="K101">
            <v>0</v>
          </cell>
          <cell r="L101">
            <v>0</v>
          </cell>
          <cell r="M101">
            <v>0</v>
          </cell>
          <cell r="N101">
            <v>0</v>
          </cell>
          <cell r="O101">
            <v>0</v>
          </cell>
          <cell r="P101">
            <v>0</v>
          </cell>
          <cell r="Q101">
            <v>0</v>
          </cell>
          <cell r="R101">
            <v>0</v>
          </cell>
          <cell r="S101">
            <v>0</v>
          </cell>
          <cell r="T101">
            <v>0</v>
          </cell>
          <cell r="U101" t="str">
            <v>WK8</v>
          </cell>
        </row>
        <row r="102">
          <cell r="A102" t="str">
            <v>EX-FEAT-096</v>
          </cell>
          <cell r="B102" t="str">
            <v>Feature name - EX-FEAT-096</v>
          </cell>
          <cell r="C102" t="str">
            <v>P2</v>
          </cell>
          <cell r="D102" t="str">
            <v/>
          </cell>
          <cell r="E102" t="e">
            <v>#N/A</v>
          </cell>
          <cell r="F102" t="str">
            <v>New</v>
          </cell>
          <cell r="G102" t="str">
            <v>No</v>
          </cell>
          <cell r="H102" t="str">
            <v>No</v>
          </cell>
          <cell r="I102">
            <v>0</v>
          </cell>
          <cell r="J102">
            <v>0</v>
          </cell>
          <cell r="K102">
            <v>0</v>
          </cell>
          <cell r="L102">
            <v>0</v>
          </cell>
          <cell r="M102">
            <v>0</v>
          </cell>
          <cell r="N102">
            <v>0</v>
          </cell>
          <cell r="O102">
            <v>0</v>
          </cell>
          <cell r="P102">
            <v>0</v>
          </cell>
          <cell r="Q102">
            <v>0</v>
          </cell>
          <cell r="R102">
            <v>0</v>
          </cell>
          <cell r="S102">
            <v>0</v>
          </cell>
          <cell r="T102">
            <v>0</v>
          </cell>
          <cell r="U102" t="str">
            <v>WK8</v>
          </cell>
        </row>
        <row r="103">
          <cell r="A103" t="str">
            <v>EX-FEAT-097</v>
          </cell>
          <cell r="B103" t="str">
            <v>Feature name - EX-FEAT-097</v>
          </cell>
          <cell r="C103" t="str">
            <v>P2</v>
          </cell>
          <cell r="D103" t="str">
            <v/>
          </cell>
          <cell r="E103" t="e">
            <v>#N/A</v>
          </cell>
          <cell r="F103" t="str">
            <v>New</v>
          </cell>
          <cell r="G103" t="str">
            <v>No</v>
          </cell>
          <cell r="H103" t="str">
            <v>No</v>
          </cell>
          <cell r="I103">
            <v>0</v>
          </cell>
          <cell r="J103">
            <v>0</v>
          </cell>
          <cell r="K103">
            <v>0</v>
          </cell>
          <cell r="L103">
            <v>0</v>
          </cell>
          <cell r="M103">
            <v>0</v>
          </cell>
          <cell r="N103">
            <v>0</v>
          </cell>
          <cell r="O103">
            <v>0</v>
          </cell>
          <cell r="P103">
            <v>0</v>
          </cell>
          <cell r="Q103">
            <v>0</v>
          </cell>
          <cell r="R103">
            <v>0</v>
          </cell>
          <cell r="S103">
            <v>0</v>
          </cell>
          <cell r="T103">
            <v>0</v>
          </cell>
          <cell r="U103" t="str">
            <v>WK8</v>
          </cell>
        </row>
        <row r="104">
          <cell r="A104" t="str">
            <v>EX-FEAT-098</v>
          </cell>
          <cell r="B104" t="str">
            <v>Feature name - EX-FEAT-098</v>
          </cell>
          <cell r="C104" t="str">
            <v>P2</v>
          </cell>
          <cell r="D104" t="str">
            <v/>
          </cell>
          <cell r="E104" t="e">
            <v>#N/A</v>
          </cell>
          <cell r="F104" t="str">
            <v>New</v>
          </cell>
          <cell r="G104" t="str">
            <v>No</v>
          </cell>
          <cell r="H104" t="str">
            <v>No</v>
          </cell>
          <cell r="I104">
            <v>0</v>
          </cell>
          <cell r="J104">
            <v>0</v>
          </cell>
          <cell r="K104">
            <v>0</v>
          </cell>
          <cell r="L104">
            <v>0</v>
          </cell>
          <cell r="M104">
            <v>0</v>
          </cell>
          <cell r="N104">
            <v>0</v>
          </cell>
          <cell r="O104">
            <v>0</v>
          </cell>
          <cell r="P104">
            <v>0</v>
          </cell>
          <cell r="Q104">
            <v>0</v>
          </cell>
          <cell r="R104">
            <v>0</v>
          </cell>
          <cell r="S104">
            <v>0</v>
          </cell>
          <cell r="T104">
            <v>0</v>
          </cell>
          <cell r="U104" t="str">
            <v>WK6</v>
          </cell>
        </row>
        <row r="105">
          <cell r="A105" t="str">
            <v>EX-FEAT-099</v>
          </cell>
          <cell r="B105" t="str">
            <v>Feature name - EX-FEAT-099</v>
          </cell>
          <cell r="C105" t="str">
            <v>P2</v>
          </cell>
          <cell r="D105" t="str">
            <v/>
          </cell>
          <cell r="E105" t="e">
            <v>#N/A</v>
          </cell>
          <cell r="F105" t="str">
            <v>New</v>
          </cell>
          <cell r="G105" t="str">
            <v>No</v>
          </cell>
          <cell r="H105" t="str">
            <v>No</v>
          </cell>
          <cell r="I105">
            <v>0</v>
          </cell>
          <cell r="J105">
            <v>0</v>
          </cell>
          <cell r="K105">
            <v>0</v>
          </cell>
          <cell r="L105">
            <v>0</v>
          </cell>
          <cell r="M105">
            <v>0</v>
          </cell>
          <cell r="N105">
            <v>0</v>
          </cell>
          <cell r="O105">
            <v>0</v>
          </cell>
          <cell r="P105">
            <v>0</v>
          </cell>
          <cell r="Q105">
            <v>0</v>
          </cell>
          <cell r="R105">
            <v>0</v>
          </cell>
          <cell r="S105">
            <v>0</v>
          </cell>
          <cell r="T105">
            <v>0</v>
          </cell>
          <cell r="U105" t="str">
            <v>WK6</v>
          </cell>
        </row>
        <row r="106">
          <cell r="A106" t="str">
            <v>EX-FEAT-100</v>
          </cell>
          <cell r="B106" t="str">
            <v>Feature name - EX-FEAT-100</v>
          </cell>
          <cell r="C106" t="str">
            <v>P3</v>
          </cell>
          <cell r="D106" t="str">
            <v/>
          </cell>
          <cell r="E106" t="e">
            <v>#N/A</v>
          </cell>
          <cell r="F106" t="str">
            <v>New</v>
          </cell>
          <cell r="G106" t="str">
            <v>No</v>
          </cell>
          <cell r="H106" t="str">
            <v>No</v>
          </cell>
          <cell r="I106">
            <v>0</v>
          </cell>
          <cell r="J106">
            <v>0</v>
          </cell>
          <cell r="K106">
            <v>0</v>
          </cell>
          <cell r="L106">
            <v>0</v>
          </cell>
          <cell r="M106">
            <v>0</v>
          </cell>
          <cell r="N106">
            <v>0</v>
          </cell>
          <cell r="O106">
            <v>0</v>
          </cell>
          <cell r="P106">
            <v>0</v>
          </cell>
          <cell r="Q106">
            <v>0</v>
          </cell>
          <cell r="R106">
            <v>0</v>
          </cell>
          <cell r="S106">
            <v>0</v>
          </cell>
          <cell r="T106">
            <v>0</v>
          </cell>
          <cell r="U106" t="str">
            <v>WK8</v>
          </cell>
        </row>
        <row r="107">
          <cell r="A107"/>
          <cell r="B107"/>
          <cell r="C107"/>
          <cell r="D107"/>
          <cell r="E107"/>
          <cell r="F107"/>
          <cell r="G107"/>
          <cell r="H107"/>
          <cell r="I107"/>
          <cell r="J107"/>
          <cell r="K107"/>
          <cell r="L107"/>
          <cell r="M107"/>
          <cell r="N107"/>
          <cell r="O107"/>
          <cell r="P107"/>
          <cell r="Q107"/>
          <cell r="R107"/>
          <cell r="S107"/>
          <cell r="T107"/>
          <cell r="U107"/>
        </row>
        <row r="108">
          <cell r="A108"/>
          <cell r="B108"/>
          <cell r="C108"/>
          <cell r="D108"/>
          <cell r="E108"/>
          <cell r="F108"/>
          <cell r="G108"/>
          <cell r="H108"/>
          <cell r="I108"/>
          <cell r="J108"/>
          <cell r="K108"/>
          <cell r="L108"/>
          <cell r="M108"/>
          <cell r="N108"/>
          <cell r="O108"/>
          <cell r="P108"/>
          <cell r="Q108"/>
          <cell r="R108"/>
          <cell r="S108"/>
          <cell r="T108"/>
          <cell r="U108"/>
        </row>
        <row r="109">
          <cell r="A109"/>
          <cell r="B109"/>
          <cell r="C109"/>
          <cell r="D109"/>
          <cell r="E109"/>
          <cell r="F109"/>
          <cell r="G109"/>
          <cell r="H109"/>
          <cell r="I109"/>
          <cell r="J109"/>
          <cell r="K109"/>
          <cell r="L109"/>
          <cell r="M109"/>
          <cell r="N109"/>
          <cell r="O109"/>
          <cell r="P109"/>
          <cell r="Q109"/>
          <cell r="R109"/>
          <cell r="S109"/>
          <cell r="T109"/>
          <cell r="U109"/>
        </row>
        <row r="110">
          <cell r="A110" t="str">
            <v>PLEASE DO NOT CROSS THIS LINE.   Insert New Rows OR Copied Cells "Above" The Last Known Good Row Only So Each Copied Cells &amp; Rows Still Contains The Right Formulas (Similar Concept for Removing or Deleting Rows)</v>
          </cell>
          <cell r="B110"/>
          <cell r="C110"/>
          <cell r="D110"/>
          <cell r="E110"/>
          <cell r="F110"/>
          <cell r="G110"/>
          <cell r="H110"/>
          <cell r="I110"/>
          <cell r="J110"/>
          <cell r="K110"/>
          <cell r="L110"/>
          <cell r="M110"/>
          <cell r="N110"/>
          <cell r="O110"/>
          <cell r="P110"/>
          <cell r="Q110"/>
          <cell r="R110"/>
          <cell r="S110"/>
          <cell r="T110"/>
          <cell r="U110"/>
        </row>
        <row r="111">
          <cell r="A111"/>
          <cell r="B111"/>
          <cell r="C111"/>
          <cell r="D111"/>
          <cell r="E111"/>
          <cell r="F111"/>
          <cell r="G111"/>
          <cell r="H111"/>
          <cell r="I111"/>
          <cell r="J111"/>
          <cell r="K111"/>
          <cell r="L111"/>
          <cell r="M111"/>
          <cell r="N111"/>
          <cell r="O111"/>
          <cell r="P111"/>
          <cell r="Q111"/>
          <cell r="R111"/>
          <cell r="S111"/>
          <cell r="T111"/>
          <cell r="U111"/>
        </row>
        <row r="112">
          <cell r="A112" t="str">
            <v>Total Summary</v>
          </cell>
          <cell r="B112"/>
          <cell r="C112"/>
          <cell r="D112"/>
          <cell r="E112"/>
          <cell r="F112"/>
          <cell r="G112">
            <v>0</v>
          </cell>
          <cell r="H112">
            <v>0</v>
          </cell>
          <cell r="I112">
            <v>163</v>
          </cell>
          <cell r="J112">
            <v>1236</v>
          </cell>
          <cell r="K112">
            <v>1</v>
          </cell>
          <cell r="L112">
            <v>1</v>
          </cell>
          <cell r="M112">
            <v>966</v>
          </cell>
          <cell r="N112">
            <v>748</v>
          </cell>
          <cell r="O112">
            <v>0.77432712215320909</v>
          </cell>
          <cell r="P112">
            <v>0</v>
          </cell>
          <cell r="Q112">
            <v>0</v>
          </cell>
          <cell r="R112">
            <v>0</v>
          </cell>
          <cell r="S112">
            <v>0</v>
          </cell>
          <cell r="T112">
            <v>0</v>
          </cell>
          <cell r="U112"/>
        </row>
        <row r="113">
          <cell r="A113"/>
          <cell r="B113"/>
          <cell r="C113"/>
          <cell r="D113"/>
          <cell r="E113"/>
          <cell r="F113"/>
          <cell r="G113">
            <v>0</v>
          </cell>
          <cell r="H113" t="e">
            <v>#DIV/0!</v>
          </cell>
          <cell r="I113"/>
          <cell r="J113"/>
          <cell r="K113"/>
          <cell r="L113"/>
          <cell r="M113"/>
          <cell r="N113"/>
          <cell r="O113"/>
          <cell r="P113"/>
          <cell r="Q113"/>
          <cell r="R113"/>
          <cell r="S113"/>
          <cell r="T113"/>
          <cell r="U113"/>
        </row>
        <row r="114">
          <cell r="A114"/>
          <cell r="B114"/>
          <cell r="C114"/>
          <cell r="D114"/>
          <cell r="E114"/>
          <cell r="F114"/>
          <cell r="G114"/>
          <cell r="H114"/>
          <cell r="I114"/>
          <cell r="J114"/>
          <cell r="K114"/>
          <cell r="L114"/>
          <cell r="M114"/>
          <cell r="N114"/>
          <cell r="O114"/>
          <cell r="P114"/>
          <cell r="Q114"/>
          <cell r="R114"/>
          <cell r="S114"/>
          <cell r="T114"/>
          <cell r="U114"/>
        </row>
        <row r="115">
          <cell r="A115"/>
          <cell r="B115"/>
          <cell r="C115"/>
          <cell r="D115"/>
          <cell r="E115"/>
          <cell r="F115"/>
          <cell r="G115"/>
          <cell r="H115"/>
          <cell r="I115"/>
          <cell r="J115"/>
          <cell r="K115"/>
          <cell r="L115"/>
          <cell r="M115"/>
          <cell r="N115"/>
          <cell r="O115"/>
          <cell r="P115"/>
          <cell r="Q115"/>
          <cell r="R115"/>
          <cell r="S115"/>
          <cell r="T115"/>
          <cell r="U115"/>
        </row>
        <row r="141">
          <cell r="A141"/>
          <cell r="B141"/>
          <cell r="C141"/>
          <cell r="D141"/>
          <cell r="E141"/>
          <cell r="F141"/>
          <cell r="G141"/>
          <cell r="H141"/>
          <cell r="I141"/>
          <cell r="J141"/>
          <cell r="K141"/>
          <cell r="L141"/>
          <cell r="M141"/>
          <cell r="N141"/>
          <cell r="O141"/>
          <cell r="P141"/>
          <cell r="Q141"/>
          <cell r="R141"/>
          <cell r="S141"/>
          <cell r="T141"/>
          <cell r="U141"/>
        </row>
      </sheetData>
      <sheetData sheetId="9"/>
      <sheetData sheetId="10"/>
      <sheetData sheetId="1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0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42" activePane="bottomRight" state="frozen"/>
      <selection pane="topRight" activeCell="D1" sqref="D1"/>
      <selection pane="bottomLeft" activeCell="A9" sqref="A9"/>
      <selection pane="bottomRight" activeCell="D9" sqref="D9"/>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620" t="s">
        <v>54</v>
      </c>
      <c r="C1" s="621"/>
      <c r="D1" s="621"/>
      <c r="E1" s="167" t="s">
        <v>55</v>
      </c>
      <c r="F1" s="167" t="s">
        <v>56</v>
      </c>
      <c r="G1" s="110" t="s">
        <v>57</v>
      </c>
    </row>
    <row r="2" spans="1:7" x14ac:dyDescent="0.25">
      <c r="A2" s="116" t="s">
        <v>58</v>
      </c>
      <c r="B2" s="622" t="s">
        <v>59</v>
      </c>
      <c r="C2" s="623"/>
      <c r="D2" s="623"/>
      <c r="E2" s="295" t="s">
        <v>60</v>
      </c>
      <c r="F2" s="295" t="s">
        <v>61</v>
      </c>
      <c r="G2" s="325" t="s">
        <v>62</v>
      </c>
    </row>
    <row r="3" spans="1:7" s="81" customFormat="1" x14ac:dyDescent="0.25">
      <c r="A3" s="203" t="s">
        <v>63</v>
      </c>
      <c r="B3" s="629" t="s">
        <v>64</v>
      </c>
      <c r="C3" s="630"/>
      <c r="D3" s="631"/>
      <c r="E3" s="80" t="s">
        <v>60</v>
      </c>
      <c r="F3" s="80" t="s">
        <v>61</v>
      </c>
      <c r="G3" s="326" t="s">
        <v>62</v>
      </c>
    </row>
    <row r="4" spans="1:7" x14ac:dyDescent="0.25">
      <c r="A4" s="203" t="s">
        <v>65</v>
      </c>
      <c r="B4" s="626" t="s">
        <v>66</v>
      </c>
      <c r="C4" s="627"/>
      <c r="D4" s="628"/>
      <c r="E4" s="80" t="s">
        <v>67</v>
      </c>
      <c r="F4" s="80" t="s">
        <v>61</v>
      </c>
      <c r="G4" s="326" t="s">
        <v>62</v>
      </c>
    </row>
    <row r="5" spans="1:7" x14ac:dyDescent="0.25">
      <c r="A5" s="117" t="s">
        <v>68</v>
      </c>
      <c r="B5" s="626" t="s">
        <v>69</v>
      </c>
      <c r="C5" s="627"/>
      <c r="D5" s="628"/>
      <c r="E5" s="80" t="s">
        <v>67</v>
      </c>
      <c r="F5" s="80" t="s">
        <v>61</v>
      </c>
      <c r="G5" s="326" t="s">
        <v>62</v>
      </c>
    </row>
    <row r="6" spans="1:7" x14ac:dyDescent="0.25">
      <c r="A6" s="117" t="s">
        <v>70</v>
      </c>
      <c r="B6" s="626" t="s">
        <v>71</v>
      </c>
      <c r="C6" s="627"/>
      <c r="D6" s="628"/>
      <c r="E6" s="80" t="s">
        <v>72</v>
      </c>
      <c r="F6" s="80" t="s">
        <v>61</v>
      </c>
      <c r="G6" s="85"/>
    </row>
    <row r="7" spans="1:7" ht="15.75" thickBot="1" x14ac:dyDescent="0.3">
      <c r="A7" s="118" t="s">
        <v>73</v>
      </c>
      <c r="B7" s="624" t="s">
        <v>74</v>
      </c>
      <c r="C7" s="625"/>
      <c r="D7" s="625"/>
      <c r="E7" s="86" t="s">
        <v>72</v>
      </c>
      <c r="F7" s="86"/>
      <c r="G7" s="87"/>
    </row>
    <row r="8" spans="1:7" s="84" customFormat="1" ht="15.75" thickBot="1" x14ac:dyDescent="0.3">
      <c r="A8" s="115" t="s">
        <v>53</v>
      </c>
      <c r="B8" s="420" t="s">
        <v>1</v>
      </c>
      <c r="C8" s="167" t="s">
        <v>75</v>
      </c>
      <c r="D8" s="167" t="s">
        <v>54</v>
      </c>
      <c r="E8" s="167" t="s">
        <v>55</v>
      </c>
      <c r="F8" s="167" t="s">
        <v>56</v>
      </c>
      <c r="G8" s="110" t="s">
        <v>57</v>
      </c>
    </row>
    <row r="9" spans="1:7" ht="105" x14ac:dyDescent="0.25">
      <c r="A9" s="597" t="s">
        <v>58</v>
      </c>
      <c r="B9" s="594" t="s">
        <v>76</v>
      </c>
      <c r="C9" s="332" t="s">
        <v>77</v>
      </c>
      <c r="D9" s="94" t="s">
        <v>78</v>
      </c>
      <c r="E9" s="94" t="s">
        <v>60</v>
      </c>
      <c r="F9" s="94" t="s">
        <v>79</v>
      </c>
      <c r="G9" s="421" t="s">
        <v>80</v>
      </c>
    </row>
    <row r="10" spans="1:7" ht="75" x14ac:dyDescent="0.25">
      <c r="A10" s="598"/>
      <c r="B10" s="595"/>
      <c r="C10" s="328" t="s">
        <v>81</v>
      </c>
      <c r="D10" s="82" t="s">
        <v>82</v>
      </c>
      <c r="E10" s="82" t="s">
        <v>60</v>
      </c>
      <c r="F10" s="82" t="s">
        <v>79</v>
      </c>
      <c r="G10" s="322" t="s">
        <v>83</v>
      </c>
    </row>
    <row r="11" spans="1:7" ht="45" x14ac:dyDescent="0.25">
      <c r="A11" s="598"/>
      <c r="B11" s="595"/>
      <c r="C11" s="328" t="s">
        <v>84</v>
      </c>
      <c r="D11" s="82" t="s">
        <v>85</v>
      </c>
      <c r="E11" s="82" t="s">
        <v>86</v>
      </c>
      <c r="F11" s="82" t="s">
        <v>79</v>
      </c>
      <c r="G11" s="95" t="s">
        <v>87</v>
      </c>
    </row>
    <row r="12" spans="1:7" ht="120" x14ac:dyDescent="0.25">
      <c r="A12" s="598"/>
      <c r="B12" s="595"/>
      <c r="C12" s="328" t="s">
        <v>88</v>
      </c>
      <c r="D12" s="351" t="s">
        <v>89</v>
      </c>
      <c r="E12" s="82" t="s">
        <v>86</v>
      </c>
      <c r="F12" s="82" t="s">
        <v>79</v>
      </c>
      <c r="G12" s="322" t="s">
        <v>90</v>
      </c>
    </row>
    <row r="13" spans="1:7" ht="30" x14ac:dyDescent="0.25">
      <c r="A13" s="598"/>
      <c r="B13" s="595"/>
      <c r="C13" s="328" t="s">
        <v>91</v>
      </c>
      <c r="D13" s="82" t="s">
        <v>92</v>
      </c>
      <c r="E13" s="82" t="s">
        <v>86</v>
      </c>
      <c r="F13" s="82" t="s">
        <v>79</v>
      </c>
      <c r="G13" s="95" t="s">
        <v>93</v>
      </c>
    </row>
    <row r="14" spans="1:7" ht="30" x14ac:dyDescent="0.25">
      <c r="A14" s="598"/>
      <c r="B14" s="595"/>
      <c r="C14" s="328" t="s">
        <v>94</v>
      </c>
      <c r="D14" s="82" t="s">
        <v>95</v>
      </c>
      <c r="E14" s="82" t="s">
        <v>86</v>
      </c>
      <c r="F14" s="82" t="s">
        <v>79</v>
      </c>
      <c r="G14" s="95" t="s">
        <v>93</v>
      </c>
    </row>
    <row r="15" spans="1:7" ht="30" x14ac:dyDescent="0.25">
      <c r="A15" s="598"/>
      <c r="B15" s="595"/>
      <c r="C15" s="121" t="s">
        <v>96</v>
      </c>
      <c r="D15" s="82" t="s">
        <v>97</v>
      </c>
      <c r="E15" s="82" t="s">
        <v>60</v>
      </c>
      <c r="F15" s="82" t="s">
        <v>79</v>
      </c>
      <c r="G15" s="95" t="s">
        <v>98</v>
      </c>
    </row>
    <row r="16" spans="1:7" ht="60" x14ac:dyDescent="0.25">
      <c r="A16" s="598"/>
      <c r="B16" s="595"/>
      <c r="C16" s="328" t="s">
        <v>99</v>
      </c>
      <c r="D16" s="351" t="s">
        <v>100</v>
      </c>
      <c r="E16" s="82" t="s">
        <v>86</v>
      </c>
      <c r="F16" s="82" t="s">
        <v>79</v>
      </c>
      <c r="G16" s="322" t="s">
        <v>101</v>
      </c>
    </row>
    <row r="17" spans="1:7" ht="30" x14ac:dyDescent="0.25">
      <c r="A17" s="598"/>
      <c r="B17" s="595"/>
      <c r="C17" s="328" t="s">
        <v>102</v>
      </c>
      <c r="D17" s="82" t="s">
        <v>103</v>
      </c>
      <c r="E17" s="82" t="s">
        <v>86</v>
      </c>
      <c r="F17" s="82" t="s">
        <v>79</v>
      </c>
      <c r="G17" s="95" t="s">
        <v>104</v>
      </c>
    </row>
    <row r="18" spans="1:7" ht="45" x14ac:dyDescent="0.25">
      <c r="A18" s="598"/>
      <c r="B18" s="595"/>
      <c r="C18" s="328" t="s">
        <v>105</v>
      </c>
      <c r="D18" s="82" t="s">
        <v>106</v>
      </c>
      <c r="E18" s="82" t="s">
        <v>86</v>
      </c>
      <c r="F18" s="82" t="s">
        <v>79</v>
      </c>
      <c r="G18" s="95" t="s">
        <v>107</v>
      </c>
    </row>
    <row r="19" spans="1:7" x14ac:dyDescent="0.25">
      <c r="A19" s="598"/>
      <c r="B19" s="595"/>
      <c r="C19" s="328" t="s">
        <v>108</v>
      </c>
      <c r="D19" s="82" t="s">
        <v>109</v>
      </c>
      <c r="E19" s="82" t="s">
        <v>86</v>
      </c>
      <c r="F19" s="82" t="s">
        <v>79</v>
      </c>
      <c r="G19" s="95" t="s">
        <v>110</v>
      </c>
    </row>
    <row r="20" spans="1:7" ht="105.75" thickBot="1" x14ac:dyDescent="0.3">
      <c r="A20" s="598"/>
      <c r="B20" s="596"/>
      <c r="C20" s="422" t="s">
        <v>1</v>
      </c>
      <c r="D20" s="537" t="s">
        <v>111</v>
      </c>
      <c r="E20" s="396" t="s">
        <v>86</v>
      </c>
      <c r="F20" s="396" t="s">
        <v>79</v>
      </c>
      <c r="G20" s="423" t="s">
        <v>112</v>
      </c>
    </row>
    <row r="21" spans="1:7" ht="45" x14ac:dyDescent="0.25">
      <c r="A21" s="598"/>
      <c r="B21" s="611" t="s">
        <v>113</v>
      </c>
      <c r="C21" s="329" t="s">
        <v>114</v>
      </c>
      <c r="D21" s="105" t="s">
        <v>115</v>
      </c>
      <c r="E21" s="105" t="s">
        <v>86</v>
      </c>
      <c r="F21" s="105" t="s">
        <v>116</v>
      </c>
      <c r="G21" s="168" t="s">
        <v>117</v>
      </c>
    </row>
    <row r="22" spans="1:7" ht="30" x14ac:dyDescent="0.25">
      <c r="A22" s="598"/>
      <c r="B22" s="612"/>
      <c r="C22" s="330" t="s">
        <v>118</v>
      </c>
      <c r="D22" s="427" t="s">
        <v>119</v>
      </c>
      <c r="E22" s="427" t="s">
        <v>86</v>
      </c>
      <c r="F22" s="427" t="s">
        <v>116</v>
      </c>
      <c r="G22" s="428" t="s">
        <v>120</v>
      </c>
    </row>
    <row r="23" spans="1:7" ht="15.75" thickBot="1" x14ac:dyDescent="0.3">
      <c r="A23" s="598"/>
      <c r="B23" s="613"/>
      <c r="C23" s="429" t="s">
        <v>121</v>
      </c>
      <c r="D23" s="107" t="s">
        <v>122</v>
      </c>
      <c r="E23" s="107" t="s">
        <v>86</v>
      </c>
      <c r="F23" s="107" t="s">
        <v>116</v>
      </c>
      <c r="G23" s="108" t="s">
        <v>123</v>
      </c>
    </row>
    <row r="24" spans="1:7" ht="30" customHeight="1" x14ac:dyDescent="0.25">
      <c r="A24" s="598"/>
      <c r="B24" s="614" t="s">
        <v>124</v>
      </c>
      <c r="C24" s="424" t="s">
        <v>125</v>
      </c>
      <c r="D24" s="425" t="s">
        <v>126</v>
      </c>
      <c r="E24" s="425" t="s">
        <v>86</v>
      </c>
      <c r="F24" s="425" t="s">
        <v>79</v>
      </c>
      <c r="G24" s="426" t="s">
        <v>127</v>
      </c>
    </row>
    <row r="25" spans="1:7" ht="30" customHeight="1" x14ac:dyDescent="0.25">
      <c r="A25" s="598"/>
      <c r="B25" s="615"/>
      <c r="C25" s="330" t="s">
        <v>128</v>
      </c>
      <c r="D25" s="109" t="s">
        <v>129</v>
      </c>
      <c r="E25" s="109" t="s">
        <v>86</v>
      </c>
      <c r="F25" s="109" t="s">
        <v>130</v>
      </c>
      <c r="G25" s="632" t="s">
        <v>131</v>
      </c>
    </row>
    <row r="26" spans="1:7" ht="30" x14ac:dyDescent="0.25">
      <c r="A26" s="598"/>
      <c r="B26" s="615"/>
      <c r="C26" s="276" t="s">
        <v>132</v>
      </c>
      <c r="D26" s="109" t="s">
        <v>133</v>
      </c>
      <c r="E26" s="109" t="s">
        <v>86</v>
      </c>
      <c r="F26" s="109" t="s">
        <v>130</v>
      </c>
      <c r="G26" s="633"/>
    </row>
    <row r="27" spans="1:7" x14ac:dyDescent="0.25">
      <c r="A27" s="598"/>
      <c r="B27" s="615"/>
      <c r="C27" s="330" t="s">
        <v>30</v>
      </c>
      <c r="D27" s="109" t="s">
        <v>134</v>
      </c>
      <c r="E27" s="109" t="s">
        <v>86</v>
      </c>
      <c r="F27" s="109" t="s">
        <v>130</v>
      </c>
      <c r="G27" s="633"/>
    </row>
    <row r="28" spans="1:7" x14ac:dyDescent="0.25">
      <c r="A28" s="598"/>
      <c r="B28" s="615"/>
      <c r="C28" s="330" t="s">
        <v>135</v>
      </c>
      <c r="D28" s="109" t="s">
        <v>136</v>
      </c>
      <c r="E28" s="109" t="s">
        <v>86</v>
      </c>
      <c r="F28" s="109" t="s">
        <v>130</v>
      </c>
      <c r="G28" s="633"/>
    </row>
    <row r="29" spans="1:7" x14ac:dyDescent="0.25">
      <c r="A29" s="598"/>
      <c r="B29" s="615"/>
      <c r="C29" s="330" t="s">
        <v>36</v>
      </c>
      <c r="D29" s="109" t="s">
        <v>137</v>
      </c>
      <c r="E29" s="109" t="s">
        <v>86</v>
      </c>
      <c r="F29" s="109" t="s">
        <v>130</v>
      </c>
      <c r="G29" s="633"/>
    </row>
    <row r="30" spans="1:7" x14ac:dyDescent="0.25">
      <c r="A30" s="598"/>
      <c r="B30" s="615"/>
      <c r="C30" s="330" t="s">
        <v>138</v>
      </c>
      <c r="D30" s="109" t="s">
        <v>139</v>
      </c>
      <c r="E30" s="109" t="s">
        <v>86</v>
      </c>
      <c r="F30" s="109" t="s">
        <v>130</v>
      </c>
      <c r="G30" s="633"/>
    </row>
    <row r="31" spans="1:7" x14ac:dyDescent="0.25">
      <c r="A31" s="598"/>
      <c r="B31" s="615"/>
      <c r="C31" s="276" t="s">
        <v>140</v>
      </c>
      <c r="D31" s="109" t="s">
        <v>141</v>
      </c>
      <c r="E31" s="109" t="s">
        <v>86</v>
      </c>
      <c r="F31" s="109" t="s">
        <v>130</v>
      </c>
      <c r="G31" s="633"/>
    </row>
    <row r="32" spans="1:7" ht="30.75" thickBot="1" x14ac:dyDescent="0.3">
      <c r="A32" s="598"/>
      <c r="B32" s="616"/>
      <c r="C32" s="331" t="s">
        <v>142</v>
      </c>
      <c r="D32" s="104" t="s">
        <v>143</v>
      </c>
      <c r="E32" s="104" t="s">
        <v>86</v>
      </c>
      <c r="F32" s="104" t="s">
        <v>130</v>
      </c>
      <c r="G32" s="634"/>
    </row>
    <row r="33" spans="1:7" ht="30" x14ac:dyDescent="0.25">
      <c r="A33" s="598"/>
      <c r="B33" s="617" t="s">
        <v>144</v>
      </c>
      <c r="C33" s="311" t="s">
        <v>132</v>
      </c>
      <c r="D33" s="274" t="s">
        <v>145</v>
      </c>
      <c r="E33" s="274" t="s">
        <v>86</v>
      </c>
      <c r="F33" s="274" t="s">
        <v>146</v>
      </c>
      <c r="G33" s="275" t="s">
        <v>147</v>
      </c>
    </row>
    <row r="34" spans="1:7" x14ac:dyDescent="0.25">
      <c r="A34" s="598"/>
      <c r="B34" s="618"/>
      <c r="C34" s="328" t="s">
        <v>30</v>
      </c>
      <c r="D34" s="83" t="s">
        <v>148</v>
      </c>
      <c r="E34" s="83" t="s">
        <v>86</v>
      </c>
      <c r="F34" s="83" t="s">
        <v>146</v>
      </c>
      <c r="G34" s="99"/>
    </row>
    <row r="35" spans="1:7" x14ac:dyDescent="0.25">
      <c r="A35" s="598"/>
      <c r="B35" s="618"/>
      <c r="C35" s="328" t="s">
        <v>135</v>
      </c>
      <c r="D35" s="83" t="s">
        <v>149</v>
      </c>
      <c r="E35" s="83" t="s">
        <v>86</v>
      </c>
      <c r="F35" s="83" t="s">
        <v>146</v>
      </c>
      <c r="G35" s="99" t="s">
        <v>150</v>
      </c>
    </row>
    <row r="36" spans="1:7" x14ac:dyDescent="0.25">
      <c r="A36" s="598"/>
      <c r="B36" s="618"/>
      <c r="C36" s="328" t="s">
        <v>36</v>
      </c>
      <c r="D36" s="83" t="s">
        <v>151</v>
      </c>
      <c r="E36" s="83" t="s">
        <v>86</v>
      </c>
      <c r="F36" s="83" t="s">
        <v>146</v>
      </c>
      <c r="G36" s="113"/>
    </row>
    <row r="37" spans="1:7" x14ac:dyDescent="0.25">
      <c r="A37" s="598"/>
      <c r="B37" s="618"/>
      <c r="C37" s="328" t="s">
        <v>138</v>
      </c>
      <c r="D37" s="83" t="s">
        <v>152</v>
      </c>
      <c r="E37" s="83" t="s">
        <v>86</v>
      </c>
      <c r="F37" s="83" t="s">
        <v>146</v>
      </c>
      <c r="G37" s="99" t="s">
        <v>153</v>
      </c>
    </row>
    <row r="38" spans="1:7" x14ac:dyDescent="0.25">
      <c r="A38" s="598"/>
      <c r="B38" s="618"/>
      <c r="C38" s="277" t="s">
        <v>140</v>
      </c>
      <c r="D38" s="83" t="s">
        <v>154</v>
      </c>
      <c r="E38" s="83" t="s">
        <v>86</v>
      </c>
      <c r="F38" s="83" t="s">
        <v>146</v>
      </c>
      <c r="G38" s="99"/>
    </row>
    <row r="39" spans="1:7" ht="30" x14ac:dyDescent="0.25">
      <c r="A39" s="598"/>
      <c r="B39" s="618"/>
      <c r="C39" s="330" t="s">
        <v>155</v>
      </c>
      <c r="D39" s="83" t="s">
        <v>156</v>
      </c>
      <c r="E39" s="83" t="s">
        <v>86</v>
      </c>
      <c r="F39" s="83" t="s">
        <v>146</v>
      </c>
      <c r="G39" s="99"/>
    </row>
    <row r="40" spans="1:7" ht="30" x14ac:dyDescent="0.25">
      <c r="A40" s="598"/>
      <c r="B40" s="618"/>
      <c r="C40" s="277" t="s">
        <v>157</v>
      </c>
      <c r="D40" s="83" t="s">
        <v>158</v>
      </c>
      <c r="E40" s="83" t="s">
        <v>60</v>
      </c>
      <c r="F40" s="83" t="s">
        <v>146</v>
      </c>
      <c r="G40" s="99" t="s">
        <v>159</v>
      </c>
    </row>
    <row r="41" spans="1:7" ht="45.75" thickBot="1" x14ac:dyDescent="0.3">
      <c r="A41" s="598"/>
      <c r="B41" s="619"/>
      <c r="C41" s="327" t="s">
        <v>160</v>
      </c>
      <c r="D41" s="100" t="s">
        <v>161</v>
      </c>
      <c r="E41" s="100" t="s">
        <v>86</v>
      </c>
      <c r="F41" s="100" t="s">
        <v>146</v>
      </c>
      <c r="G41" s="101" t="s">
        <v>162</v>
      </c>
    </row>
    <row r="42" spans="1:7" ht="135.75" thickBot="1" x14ac:dyDescent="0.3">
      <c r="A42" s="597" t="s">
        <v>63</v>
      </c>
      <c r="B42" s="430" t="s">
        <v>163</v>
      </c>
      <c r="C42" s="332" t="s">
        <v>88</v>
      </c>
      <c r="D42" s="431" t="s">
        <v>164</v>
      </c>
      <c r="E42" s="431" t="s">
        <v>86</v>
      </c>
      <c r="F42" s="431" t="s">
        <v>79</v>
      </c>
      <c r="G42" s="432" t="s">
        <v>165</v>
      </c>
    </row>
    <row r="43" spans="1:7" ht="15" customHeight="1" x14ac:dyDescent="0.25">
      <c r="A43" s="598"/>
      <c r="B43" s="602" t="s">
        <v>166</v>
      </c>
      <c r="C43" s="308" t="s">
        <v>167</v>
      </c>
      <c r="D43" s="296" t="s">
        <v>168</v>
      </c>
      <c r="E43" s="296" t="s">
        <v>67</v>
      </c>
      <c r="F43" s="296" t="s">
        <v>79</v>
      </c>
      <c r="G43" s="279" t="s">
        <v>169</v>
      </c>
    </row>
    <row r="44" spans="1:7" ht="30" x14ac:dyDescent="0.25">
      <c r="A44" s="598"/>
      <c r="B44" s="603"/>
      <c r="C44" s="309" t="s">
        <v>128</v>
      </c>
      <c r="D44" s="297" t="s">
        <v>170</v>
      </c>
      <c r="E44" s="297" t="s">
        <v>67</v>
      </c>
      <c r="F44" s="297" t="s">
        <v>79</v>
      </c>
      <c r="G44" s="280" t="s">
        <v>169</v>
      </c>
    </row>
    <row r="45" spans="1:7" ht="30" x14ac:dyDescent="0.25">
      <c r="A45" s="598"/>
      <c r="B45" s="603"/>
      <c r="C45" s="309" t="s">
        <v>105</v>
      </c>
      <c r="D45" s="297" t="s">
        <v>171</v>
      </c>
      <c r="E45" s="297" t="s">
        <v>67</v>
      </c>
      <c r="F45" s="297" t="s">
        <v>79</v>
      </c>
      <c r="G45" s="280" t="s">
        <v>172</v>
      </c>
    </row>
    <row r="46" spans="1:7" x14ac:dyDescent="0.25">
      <c r="A46" s="598"/>
      <c r="B46" s="603"/>
      <c r="C46" s="309" t="s">
        <v>173</v>
      </c>
      <c r="D46" s="297" t="s">
        <v>174</v>
      </c>
      <c r="E46" s="297" t="s">
        <v>67</v>
      </c>
      <c r="F46" s="297" t="s">
        <v>79</v>
      </c>
      <c r="G46" s="280" t="s">
        <v>169</v>
      </c>
    </row>
    <row r="47" spans="1:7" ht="15.75" thickBot="1" x14ac:dyDescent="0.3">
      <c r="A47" s="598"/>
      <c r="B47" s="604"/>
      <c r="C47" s="310" t="s">
        <v>175</v>
      </c>
      <c r="D47" s="298" t="s">
        <v>176</v>
      </c>
      <c r="E47" s="297" t="s">
        <v>67</v>
      </c>
      <c r="F47" s="298" t="s">
        <v>79</v>
      </c>
      <c r="G47" s="281" t="s">
        <v>169</v>
      </c>
    </row>
    <row r="48" spans="1:7" ht="30" x14ac:dyDescent="0.25">
      <c r="A48" s="598"/>
      <c r="B48" s="605" t="s">
        <v>177</v>
      </c>
      <c r="C48" s="305" t="s">
        <v>132</v>
      </c>
      <c r="D48" s="299" t="s">
        <v>178</v>
      </c>
      <c r="E48" s="299" t="s">
        <v>67</v>
      </c>
      <c r="F48" s="299" t="s">
        <v>130</v>
      </c>
      <c r="G48" s="635" t="s">
        <v>179</v>
      </c>
    </row>
    <row r="49" spans="1:7" ht="30" x14ac:dyDescent="0.25">
      <c r="A49" s="598"/>
      <c r="B49" s="605"/>
      <c r="C49" s="306" t="s">
        <v>30</v>
      </c>
      <c r="D49" s="282" t="s">
        <v>180</v>
      </c>
      <c r="E49" s="282" t="s">
        <v>67</v>
      </c>
      <c r="F49" s="282" t="s">
        <v>130</v>
      </c>
      <c r="G49" s="636"/>
    </row>
    <row r="50" spans="1:7" ht="30" x14ac:dyDescent="0.25">
      <c r="A50" s="598"/>
      <c r="B50" s="605"/>
      <c r="C50" s="306" t="s">
        <v>135</v>
      </c>
      <c r="D50" s="282" t="s">
        <v>181</v>
      </c>
      <c r="E50" s="282" t="s">
        <v>67</v>
      </c>
      <c r="F50" s="282" t="s">
        <v>130</v>
      </c>
      <c r="G50" s="636"/>
    </row>
    <row r="51" spans="1:7" ht="30" x14ac:dyDescent="0.25">
      <c r="A51" s="598"/>
      <c r="B51" s="605"/>
      <c r="C51" s="306" t="s">
        <v>36</v>
      </c>
      <c r="D51" s="282" t="s">
        <v>182</v>
      </c>
      <c r="E51" s="282" t="s">
        <v>67</v>
      </c>
      <c r="F51" s="282" t="s">
        <v>130</v>
      </c>
      <c r="G51" s="636"/>
    </row>
    <row r="52" spans="1:7" ht="30" x14ac:dyDescent="0.25">
      <c r="A52" s="598"/>
      <c r="B52" s="605"/>
      <c r="C52" s="306" t="s">
        <v>138</v>
      </c>
      <c r="D52" s="282" t="s">
        <v>183</v>
      </c>
      <c r="E52" s="282" t="s">
        <v>67</v>
      </c>
      <c r="F52" s="282" t="s">
        <v>130</v>
      </c>
      <c r="G52" s="636"/>
    </row>
    <row r="53" spans="1:7" ht="30" x14ac:dyDescent="0.25">
      <c r="A53" s="598"/>
      <c r="B53" s="605"/>
      <c r="C53" s="306" t="s">
        <v>184</v>
      </c>
      <c r="D53" s="282" t="s">
        <v>185</v>
      </c>
      <c r="E53" s="282" t="s">
        <v>67</v>
      </c>
      <c r="F53" s="282" t="s">
        <v>130</v>
      </c>
      <c r="G53" s="636"/>
    </row>
    <row r="54" spans="1:7" x14ac:dyDescent="0.25">
      <c r="A54" s="598"/>
      <c r="B54" s="605"/>
      <c r="C54" s="306" t="s">
        <v>140</v>
      </c>
      <c r="D54" s="282" t="s">
        <v>186</v>
      </c>
      <c r="E54" s="282" t="s">
        <v>67</v>
      </c>
      <c r="F54" s="282" t="s">
        <v>130</v>
      </c>
      <c r="G54" s="636"/>
    </row>
    <row r="55" spans="1:7" ht="30.75" thickBot="1" x14ac:dyDescent="0.3">
      <c r="A55" s="598"/>
      <c r="B55" s="606"/>
      <c r="C55" s="307" t="s">
        <v>187</v>
      </c>
      <c r="D55" s="300" t="s">
        <v>188</v>
      </c>
      <c r="E55" s="300" t="s">
        <v>67</v>
      </c>
      <c r="F55" s="300" t="s">
        <v>130</v>
      </c>
      <c r="G55" s="637"/>
    </row>
    <row r="56" spans="1:7" ht="30" x14ac:dyDescent="0.25">
      <c r="A56" s="598"/>
      <c r="B56" s="607" t="s">
        <v>144</v>
      </c>
      <c r="C56" s="417" t="s">
        <v>132</v>
      </c>
      <c r="D56" s="418" t="s">
        <v>189</v>
      </c>
      <c r="E56" s="418" t="s">
        <v>67</v>
      </c>
      <c r="F56" s="418" t="s">
        <v>146</v>
      </c>
      <c r="G56" s="419" t="s">
        <v>169</v>
      </c>
    </row>
    <row r="57" spans="1:7" ht="30" x14ac:dyDescent="0.25">
      <c r="A57" s="598"/>
      <c r="B57" s="608"/>
      <c r="C57" s="303" t="s">
        <v>30</v>
      </c>
      <c r="D57" s="301" t="s">
        <v>190</v>
      </c>
      <c r="E57" s="301" t="s">
        <v>67</v>
      </c>
      <c r="F57" s="301" t="s">
        <v>146</v>
      </c>
      <c r="G57" s="278" t="s">
        <v>169</v>
      </c>
    </row>
    <row r="58" spans="1:7" ht="30" x14ac:dyDescent="0.25">
      <c r="A58" s="598"/>
      <c r="B58" s="608"/>
      <c r="C58" s="303" t="s">
        <v>135</v>
      </c>
      <c r="D58" s="301" t="s">
        <v>191</v>
      </c>
      <c r="E58" s="301" t="s">
        <v>67</v>
      </c>
      <c r="F58" s="301" t="s">
        <v>146</v>
      </c>
      <c r="G58" s="278" t="s">
        <v>169</v>
      </c>
    </row>
    <row r="59" spans="1:7" x14ac:dyDescent="0.25">
      <c r="A59" s="598"/>
      <c r="B59" s="608"/>
      <c r="C59" s="303" t="s">
        <v>36</v>
      </c>
      <c r="D59" s="301" t="s">
        <v>192</v>
      </c>
      <c r="E59" s="301" t="s">
        <v>67</v>
      </c>
      <c r="F59" s="301" t="s">
        <v>146</v>
      </c>
      <c r="G59" s="278" t="s">
        <v>169</v>
      </c>
    </row>
    <row r="60" spans="1:7" ht="30" x14ac:dyDescent="0.25">
      <c r="A60" s="598"/>
      <c r="B60" s="608"/>
      <c r="C60" s="303" t="s">
        <v>138</v>
      </c>
      <c r="D60" s="301" t="s">
        <v>193</v>
      </c>
      <c r="E60" s="301" t="s">
        <v>67</v>
      </c>
      <c r="F60" s="301" t="s">
        <v>146</v>
      </c>
      <c r="G60" s="278" t="s">
        <v>169</v>
      </c>
    </row>
    <row r="61" spans="1:7" x14ac:dyDescent="0.25">
      <c r="A61" s="598"/>
      <c r="B61" s="608"/>
      <c r="C61" s="303" t="s">
        <v>184</v>
      </c>
      <c r="D61" s="301" t="s">
        <v>194</v>
      </c>
      <c r="E61" s="301" t="s">
        <v>67</v>
      </c>
      <c r="F61" s="301" t="s">
        <v>146</v>
      </c>
      <c r="G61" s="278" t="s">
        <v>169</v>
      </c>
    </row>
    <row r="62" spans="1:7" x14ac:dyDescent="0.25">
      <c r="A62" s="598"/>
      <c r="B62" s="608"/>
      <c r="C62" s="303" t="s">
        <v>140</v>
      </c>
      <c r="D62" s="301" t="s">
        <v>195</v>
      </c>
      <c r="E62" s="301" t="s">
        <v>67</v>
      </c>
      <c r="F62" s="301" t="s">
        <v>146</v>
      </c>
      <c r="G62" s="278" t="s">
        <v>169</v>
      </c>
    </row>
    <row r="63" spans="1:7" ht="15.75" thickBot="1" x14ac:dyDescent="0.3">
      <c r="A63" s="610"/>
      <c r="B63" s="609"/>
      <c r="C63" s="304" t="s">
        <v>187</v>
      </c>
      <c r="D63" s="302" t="s">
        <v>196</v>
      </c>
      <c r="E63" s="302" t="s">
        <v>67</v>
      </c>
      <c r="F63" s="302" t="s">
        <v>146</v>
      </c>
      <c r="G63" s="283" t="s">
        <v>169</v>
      </c>
    </row>
    <row r="64" spans="1:7" ht="120" x14ac:dyDescent="0.25">
      <c r="A64" s="598" t="s">
        <v>65</v>
      </c>
      <c r="B64" s="599" t="s">
        <v>197</v>
      </c>
      <c r="C64" s="329" t="s">
        <v>77</v>
      </c>
      <c r="D64" s="285" t="s">
        <v>198</v>
      </c>
      <c r="E64" s="285" t="s">
        <v>60</v>
      </c>
      <c r="F64" s="285" t="s">
        <v>79</v>
      </c>
      <c r="G64" s="433" t="s">
        <v>199</v>
      </c>
    </row>
    <row r="65" spans="1:7" ht="60" x14ac:dyDescent="0.25">
      <c r="A65" s="598"/>
      <c r="B65" s="600"/>
      <c r="C65" s="330" t="s">
        <v>81</v>
      </c>
      <c r="D65" s="286" t="s">
        <v>82</v>
      </c>
      <c r="E65" s="286" t="s">
        <v>60</v>
      </c>
      <c r="F65" s="286" t="s">
        <v>79</v>
      </c>
      <c r="G65" s="435" t="s">
        <v>200</v>
      </c>
    </row>
    <row r="66" spans="1:7" ht="30" x14ac:dyDescent="0.25">
      <c r="A66" s="598"/>
      <c r="B66" s="600"/>
      <c r="C66" s="330" t="s">
        <v>96</v>
      </c>
      <c r="D66" s="286" t="s">
        <v>97</v>
      </c>
      <c r="E66" s="286" t="s">
        <v>60</v>
      </c>
      <c r="F66" s="286" t="s">
        <v>79</v>
      </c>
      <c r="G66" s="287" t="s">
        <v>201</v>
      </c>
    </row>
    <row r="67" spans="1:7" ht="30" x14ac:dyDescent="0.25">
      <c r="A67" s="598"/>
      <c r="B67" s="600"/>
      <c r="C67" s="330" t="s">
        <v>202</v>
      </c>
      <c r="D67" s="286" t="s">
        <v>203</v>
      </c>
      <c r="E67" s="286" t="s">
        <v>60</v>
      </c>
      <c r="F67" s="286" t="s">
        <v>79</v>
      </c>
      <c r="G67" s="287" t="s">
        <v>204</v>
      </c>
    </row>
    <row r="68" spans="1:7" x14ac:dyDescent="0.25">
      <c r="A68" s="598"/>
      <c r="B68" s="600"/>
      <c r="C68" s="330" t="s">
        <v>1</v>
      </c>
      <c r="D68" s="286" t="s">
        <v>205</v>
      </c>
      <c r="E68" s="286" t="s">
        <v>60</v>
      </c>
      <c r="F68" s="286" t="s">
        <v>79</v>
      </c>
      <c r="G68" s="287" t="s">
        <v>206</v>
      </c>
    </row>
    <row r="69" spans="1:7" ht="15.75" thickBot="1" x14ac:dyDescent="0.3">
      <c r="A69" s="598"/>
      <c r="B69" s="601"/>
      <c r="C69" s="331" t="s">
        <v>207</v>
      </c>
      <c r="D69" s="288" t="s">
        <v>208</v>
      </c>
      <c r="E69" s="288" t="s">
        <v>60</v>
      </c>
      <c r="F69" s="288" t="s">
        <v>79</v>
      </c>
      <c r="G69" s="289"/>
    </row>
    <row r="70" spans="1:7" ht="150" x14ac:dyDescent="0.25">
      <c r="A70" s="597" t="s">
        <v>68</v>
      </c>
      <c r="B70" s="594" t="s">
        <v>76</v>
      </c>
      <c r="C70" s="343" t="s">
        <v>77</v>
      </c>
      <c r="D70" s="284" t="s">
        <v>209</v>
      </c>
      <c r="E70" s="284" t="s">
        <v>60</v>
      </c>
      <c r="F70" s="284" t="s">
        <v>79</v>
      </c>
      <c r="G70" s="434" t="s">
        <v>210</v>
      </c>
    </row>
    <row r="71" spans="1:7" x14ac:dyDescent="0.25">
      <c r="A71" s="598"/>
      <c r="B71" s="595"/>
      <c r="C71" s="121" t="s">
        <v>81</v>
      </c>
      <c r="D71" s="82" t="s">
        <v>82</v>
      </c>
      <c r="E71" s="82" t="s">
        <v>60</v>
      </c>
      <c r="F71" s="82" t="s">
        <v>79</v>
      </c>
      <c r="G71" s="95" t="s">
        <v>169</v>
      </c>
    </row>
    <row r="72" spans="1:7" ht="30" x14ac:dyDescent="0.25">
      <c r="A72" s="598"/>
      <c r="B72" s="595"/>
      <c r="C72" s="121" t="s">
        <v>96</v>
      </c>
      <c r="D72" s="82" t="s">
        <v>97</v>
      </c>
      <c r="E72" s="82" t="s">
        <v>60</v>
      </c>
      <c r="F72" s="82" t="s">
        <v>79</v>
      </c>
      <c r="G72" s="95" t="s">
        <v>211</v>
      </c>
    </row>
    <row r="73" spans="1:7" x14ac:dyDescent="0.25">
      <c r="A73" s="598"/>
      <c r="B73" s="595"/>
      <c r="C73" s="121" t="s">
        <v>212</v>
      </c>
      <c r="D73" s="82" t="s">
        <v>213</v>
      </c>
      <c r="E73" s="82" t="s">
        <v>86</v>
      </c>
      <c r="F73" s="82" t="s">
        <v>79</v>
      </c>
      <c r="G73" s="95" t="s">
        <v>169</v>
      </c>
    </row>
    <row r="74" spans="1:7" ht="60" customHeight="1" x14ac:dyDescent="0.25">
      <c r="A74" s="598"/>
      <c r="B74" s="595"/>
      <c r="C74" s="121" t="s">
        <v>88</v>
      </c>
      <c r="D74" s="82" t="s">
        <v>214</v>
      </c>
      <c r="E74" s="82" t="s">
        <v>86</v>
      </c>
      <c r="F74" s="82" t="s">
        <v>79</v>
      </c>
      <c r="G74" s="95" t="s">
        <v>169</v>
      </c>
    </row>
    <row r="75" spans="1:7" x14ac:dyDescent="0.25">
      <c r="A75" s="598"/>
      <c r="B75" s="595"/>
      <c r="C75" s="121" t="s">
        <v>1</v>
      </c>
      <c r="D75" s="82" t="s">
        <v>205</v>
      </c>
      <c r="E75" s="82" t="s">
        <v>86</v>
      </c>
      <c r="F75" s="82" t="s">
        <v>79</v>
      </c>
      <c r="G75" s="95" t="s">
        <v>169</v>
      </c>
    </row>
    <row r="76" spans="1:7" ht="90" x14ac:dyDescent="0.25">
      <c r="A76" s="598"/>
      <c r="B76" s="595"/>
      <c r="C76" s="121" t="s">
        <v>215</v>
      </c>
      <c r="D76" s="82" t="s">
        <v>216</v>
      </c>
      <c r="E76" s="82" t="s">
        <v>60</v>
      </c>
      <c r="F76" s="82" t="s">
        <v>79</v>
      </c>
      <c r="G76" s="322" t="s">
        <v>217</v>
      </c>
    </row>
    <row r="77" spans="1:7" ht="90" x14ac:dyDescent="0.25">
      <c r="A77" s="598"/>
      <c r="B77" s="595"/>
      <c r="C77" s="121" t="s">
        <v>218</v>
      </c>
      <c r="D77" s="82" t="s">
        <v>219</v>
      </c>
      <c r="E77" s="82" t="s">
        <v>60</v>
      </c>
      <c r="F77" s="82" t="s">
        <v>79</v>
      </c>
      <c r="G77" s="322" t="s">
        <v>220</v>
      </c>
    </row>
    <row r="78" spans="1:7" ht="30" x14ac:dyDescent="0.25">
      <c r="A78" s="598"/>
      <c r="B78" s="595"/>
      <c r="C78" s="121" t="s">
        <v>105</v>
      </c>
      <c r="D78" s="82" t="s">
        <v>171</v>
      </c>
      <c r="E78" s="82" t="s">
        <v>86</v>
      </c>
      <c r="F78" s="82" t="s">
        <v>79</v>
      </c>
      <c r="G78" s="95" t="s">
        <v>172</v>
      </c>
    </row>
    <row r="79" spans="1:7" ht="30.75" thickBot="1" x14ac:dyDescent="0.3">
      <c r="A79" s="598"/>
      <c r="B79" s="596"/>
      <c r="C79" s="122" t="s">
        <v>221</v>
      </c>
      <c r="D79" s="96" t="s">
        <v>222</v>
      </c>
      <c r="E79" s="96" t="s">
        <v>60</v>
      </c>
      <c r="F79" s="96" t="s">
        <v>79</v>
      </c>
      <c r="G79" s="97" t="s">
        <v>223</v>
      </c>
    </row>
    <row r="80" spans="1:7" ht="30" x14ac:dyDescent="0.25">
      <c r="A80" s="598"/>
      <c r="B80" s="638" t="s">
        <v>113</v>
      </c>
      <c r="C80" s="123" t="s">
        <v>114</v>
      </c>
      <c r="D80" s="105" t="s">
        <v>224</v>
      </c>
      <c r="E80" s="105" t="s">
        <v>60</v>
      </c>
      <c r="F80" s="105" t="s">
        <v>225</v>
      </c>
      <c r="G80" s="106" t="s">
        <v>223</v>
      </c>
    </row>
    <row r="81" spans="1:7" ht="30.75" thickBot="1" x14ac:dyDescent="0.3">
      <c r="A81" s="598"/>
      <c r="B81" s="639"/>
      <c r="C81" s="124" t="s">
        <v>121</v>
      </c>
      <c r="D81" s="107" t="s">
        <v>226</v>
      </c>
      <c r="E81" s="107" t="s">
        <v>60</v>
      </c>
      <c r="F81" s="107" t="s">
        <v>225</v>
      </c>
      <c r="G81" s="108" t="s">
        <v>223</v>
      </c>
    </row>
    <row r="82" spans="1:7" ht="30" x14ac:dyDescent="0.25">
      <c r="A82" s="598"/>
      <c r="B82" s="640" t="s">
        <v>124</v>
      </c>
      <c r="C82" s="125" t="s">
        <v>227</v>
      </c>
      <c r="D82" s="102" t="s">
        <v>228</v>
      </c>
      <c r="E82" s="102" t="s">
        <v>60</v>
      </c>
      <c r="F82" s="102" t="s">
        <v>79</v>
      </c>
      <c r="G82" s="103" t="s">
        <v>223</v>
      </c>
    </row>
    <row r="83" spans="1:7" ht="30" x14ac:dyDescent="0.25">
      <c r="A83" s="598"/>
      <c r="B83" s="641"/>
      <c r="C83" s="127" t="s">
        <v>229</v>
      </c>
      <c r="D83" s="109" t="s">
        <v>230</v>
      </c>
      <c r="E83" s="109" t="s">
        <v>60</v>
      </c>
      <c r="F83" s="109" t="s">
        <v>225</v>
      </c>
      <c r="G83" s="114" t="s">
        <v>223</v>
      </c>
    </row>
    <row r="84" spans="1:7" ht="30.75" thickBot="1" x14ac:dyDescent="0.3">
      <c r="A84" s="598"/>
      <c r="B84" s="642"/>
      <c r="C84" s="128" t="s">
        <v>187</v>
      </c>
      <c r="D84" s="119" t="s">
        <v>231</v>
      </c>
      <c r="E84" s="119" t="s">
        <v>60</v>
      </c>
      <c r="F84" s="119" t="s">
        <v>225</v>
      </c>
      <c r="G84" s="120" t="s">
        <v>223</v>
      </c>
    </row>
    <row r="85" spans="1:7" ht="30" x14ac:dyDescent="0.25">
      <c r="A85" s="598"/>
      <c r="B85" s="643" t="s">
        <v>144</v>
      </c>
      <c r="C85" s="126" t="s">
        <v>232</v>
      </c>
      <c r="D85" s="111" t="s">
        <v>233</v>
      </c>
      <c r="E85" s="111" t="s">
        <v>60</v>
      </c>
      <c r="F85" s="111" t="s">
        <v>225</v>
      </c>
      <c r="G85" s="112" t="s">
        <v>223</v>
      </c>
    </row>
    <row r="86" spans="1:7" ht="30" x14ac:dyDescent="0.25">
      <c r="A86" s="598"/>
      <c r="B86" s="644"/>
      <c r="C86" s="98" t="s">
        <v>229</v>
      </c>
      <c r="D86" s="83" t="s">
        <v>234</v>
      </c>
      <c r="E86" s="83" t="s">
        <v>60</v>
      </c>
      <c r="F86" s="83" t="s">
        <v>225</v>
      </c>
      <c r="G86" s="99" t="s">
        <v>223</v>
      </c>
    </row>
    <row r="87" spans="1:7" ht="30" x14ac:dyDescent="0.25">
      <c r="A87" s="598"/>
      <c r="B87" s="644"/>
      <c r="C87" s="98" t="s">
        <v>184</v>
      </c>
      <c r="D87" s="83" t="s">
        <v>235</v>
      </c>
      <c r="E87" s="83" t="s">
        <v>60</v>
      </c>
      <c r="F87" s="83" t="s">
        <v>225</v>
      </c>
      <c r="G87" s="99" t="s">
        <v>223</v>
      </c>
    </row>
    <row r="88" spans="1:7" ht="30" x14ac:dyDescent="0.25">
      <c r="A88" s="598"/>
      <c r="B88" s="644"/>
      <c r="C88" s="98" t="s">
        <v>140</v>
      </c>
      <c r="D88" s="83" t="s">
        <v>236</v>
      </c>
      <c r="E88" s="83" t="s">
        <v>60</v>
      </c>
      <c r="F88" s="83" t="s">
        <v>225</v>
      </c>
      <c r="G88" s="99" t="s">
        <v>223</v>
      </c>
    </row>
    <row r="89" spans="1:7" ht="45" customHeight="1" x14ac:dyDescent="0.25">
      <c r="A89" s="598"/>
      <c r="B89" s="644"/>
      <c r="C89" s="98" t="s">
        <v>187</v>
      </c>
      <c r="D89" s="83" t="s">
        <v>237</v>
      </c>
      <c r="E89" s="83" t="s">
        <v>60</v>
      </c>
      <c r="F89" s="83" t="s">
        <v>225</v>
      </c>
      <c r="G89" s="99" t="s">
        <v>223</v>
      </c>
    </row>
    <row r="90" spans="1:7" ht="30.75" thickBot="1" x14ac:dyDescent="0.3">
      <c r="A90" s="610"/>
      <c r="B90" s="645"/>
      <c r="C90" s="327"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46" t="s">
        <v>240</v>
      </c>
      <c r="B2" s="646"/>
      <c r="C2" s="646"/>
      <c r="D2" s="646"/>
      <c r="E2" s="646"/>
      <c r="F2" s="89"/>
      <c r="G2" s="89"/>
      <c r="H2" s="89"/>
      <c r="I2" s="89"/>
      <c r="J2" s="89"/>
      <c r="K2" s="89"/>
      <c r="L2" s="89"/>
      <c r="M2" s="89"/>
      <c r="N2" s="89"/>
      <c r="O2" s="89"/>
      <c r="P2" s="89"/>
      <c r="Q2" s="89"/>
      <c r="R2" s="89"/>
    </row>
    <row r="3" spans="1:19" ht="45" x14ac:dyDescent="0.25">
      <c r="A3" s="538" t="s">
        <v>241</v>
      </c>
      <c r="B3" s="538" t="s">
        <v>242</v>
      </c>
      <c r="C3" s="538" t="s">
        <v>243</v>
      </c>
      <c r="D3" s="538" t="s">
        <v>244</v>
      </c>
      <c r="E3" s="538" t="s">
        <v>245</v>
      </c>
    </row>
    <row r="4" spans="1:19" x14ac:dyDescent="0.25">
      <c r="A4" s="539" t="s">
        <v>246</v>
      </c>
      <c r="B4" s="539" t="s">
        <v>247</v>
      </c>
      <c r="C4" s="539" t="s">
        <v>248</v>
      </c>
      <c r="D4" s="539" t="s">
        <v>249</v>
      </c>
      <c r="E4" s="539" t="s">
        <v>248</v>
      </c>
    </row>
    <row r="5" spans="1:19" x14ac:dyDescent="0.25">
      <c r="A5" s="539" t="s">
        <v>250</v>
      </c>
      <c r="B5" s="539" t="s">
        <v>251</v>
      </c>
      <c r="C5" s="539" t="s">
        <v>252</v>
      </c>
      <c r="D5" s="539" t="s">
        <v>249</v>
      </c>
      <c r="E5" s="539" t="s">
        <v>248</v>
      </c>
    </row>
    <row r="6" spans="1:19" x14ac:dyDescent="0.25">
      <c r="A6" s="81"/>
    </row>
    <row r="7" spans="1:19" ht="59.25" customHeight="1" x14ac:dyDescent="0.25">
      <c r="A7" s="646" t="s">
        <v>253</v>
      </c>
      <c r="B7" s="647"/>
      <c r="C7" s="647"/>
      <c r="D7" s="647"/>
      <c r="E7" s="647"/>
      <c r="F7" s="647"/>
      <c r="G7" s="647"/>
      <c r="H7" s="647"/>
      <c r="I7" s="647"/>
      <c r="J7" s="647"/>
      <c r="K7" s="647"/>
      <c r="L7" s="647"/>
      <c r="M7" s="89"/>
      <c r="N7" s="89"/>
      <c r="O7" s="89"/>
      <c r="P7" s="89"/>
      <c r="Q7" s="89"/>
      <c r="R7" s="89"/>
      <c r="S7" s="89"/>
    </row>
    <row r="8" spans="1:19" x14ac:dyDescent="0.25">
      <c r="A8" s="540" t="s">
        <v>254</v>
      </c>
      <c r="B8" s="541"/>
      <c r="C8" s="541"/>
      <c r="D8" s="541"/>
      <c r="E8" s="541"/>
      <c r="F8" s="541"/>
      <c r="G8" s="541"/>
      <c r="H8" s="541"/>
      <c r="I8" s="541"/>
      <c r="J8" s="541"/>
      <c r="K8" s="541"/>
      <c r="L8" s="541"/>
      <c r="M8" s="89"/>
      <c r="N8" s="89"/>
      <c r="O8" s="89"/>
      <c r="P8" s="89"/>
      <c r="Q8" s="89"/>
      <c r="R8" s="89"/>
      <c r="S8" s="89"/>
    </row>
    <row r="9" spans="1:19" x14ac:dyDescent="0.25">
      <c r="A9" s="542" t="s">
        <v>77</v>
      </c>
      <c r="B9" s="543" t="s">
        <v>81</v>
      </c>
      <c r="C9" s="543" t="s">
        <v>84</v>
      </c>
      <c r="D9" s="544" t="s">
        <v>88</v>
      </c>
      <c r="E9" s="543" t="s">
        <v>91</v>
      </c>
      <c r="F9" s="543" t="s">
        <v>94</v>
      </c>
      <c r="G9" s="543" t="s">
        <v>96</v>
      </c>
      <c r="H9" s="543" t="s">
        <v>99</v>
      </c>
      <c r="I9" s="543" t="s">
        <v>102</v>
      </c>
      <c r="J9" s="545" t="s">
        <v>105</v>
      </c>
      <c r="K9" s="545" t="s">
        <v>108</v>
      </c>
      <c r="L9" s="546" t="s">
        <v>1</v>
      </c>
    </row>
    <row r="10" spans="1:19" x14ac:dyDescent="0.25">
      <c r="A10" s="547" t="s">
        <v>255</v>
      </c>
      <c r="B10" s="548" t="s">
        <v>256</v>
      </c>
      <c r="C10" s="548"/>
      <c r="D10" s="549" t="s">
        <v>257</v>
      </c>
      <c r="E10" s="550"/>
      <c r="F10" s="548" t="s">
        <v>258</v>
      </c>
      <c r="G10" s="549" t="s">
        <v>259</v>
      </c>
      <c r="H10" s="548" t="s">
        <v>260</v>
      </c>
      <c r="I10" s="548"/>
      <c r="J10" s="549">
        <v>1</v>
      </c>
      <c r="K10" s="549">
        <v>1</v>
      </c>
      <c r="L10" s="549" t="s">
        <v>261</v>
      </c>
    </row>
    <row r="11" spans="1:19" x14ac:dyDescent="0.25">
      <c r="A11" s="547" t="s">
        <v>262</v>
      </c>
      <c r="B11" s="548" t="s">
        <v>263</v>
      </c>
      <c r="C11" s="548"/>
      <c r="D11" s="549" t="s">
        <v>264</v>
      </c>
      <c r="E11" s="550"/>
      <c r="F11" s="548" t="s">
        <v>265</v>
      </c>
      <c r="G11" s="549" t="s">
        <v>259</v>
      </c>
      <c r="H11" s="548" t="s">
        <v>266</v>
      </c>
      <c r="I11" s="548"/>
      <c r="J11" s="549">
        <v>1</v>
      </c>
      <c r="K11" s="549">
        <v>1</v>
      </c>
      <c r="L11" s="549" t="s">
        <v>267</v>
      </c>
    </row>
    <row r="12" spans="1:19" ht="30" x14ac:dyDescent="0.25">
      <c r="A12" s="547" t="s">
        <v>268</v>
      </c>
      <c r="B12" s="547" t="s">
        <v>269</v>
      </c>
      <c r="C12" s="548"/>
      <c r="D12" s="549" t="s">
        <v>247</v>
      </c>
      <c r="E12" s="550"/>
      <c r="F12" s="548" t="s">
        <v>270</v>
      </c>
      <c r="G12" s="549" t="e">
        <v>#N/A</v>
      </c>
      <c r="H12" s="548" t="s">
        <v>249</v>
      </c>
      <c r="I12" s="548"/>
      <c r="J12" s="549">
        <v>1</v>
      </c>
      <c r="K12" s="549">
        <v>1</v>
      </c>
      <c r="L12" s="549" t="s">
        <v>261</v>
      </c>
    </row>
    <row r="13" spans="1:19" x14ac:dyDescent="0.25">
      <c r="A13" s="551" t="s">
        <v>271</v>
      </c>
    </row>
    <row r="14" spans="1:19" x14ac:dyDescent="0.25">
      <c r="A14" s="542" t="s">
        <v>77</v>
      </c>
      <c r="B14" s="543" t="s">
        <v>81</v>
      </c>
      <c r="C14" s="543" t="s">
        <v>84</v>
      </c>
      <c r="D14" s="544" t="s">
        <v>88</v>
      </c>
      <c r="E14" s="543" t="s">
        <v>91</v>
      </c>
      <c r="F14" s="543" t="s">
        <v>94</v>
      </c>
      <c r="G14" s="543" t="s">
        <v>96</v>
      </c>
      <c r="H14" s="543" t="s">
        <v>99</v>
      </c>
      <c r="I14" s="543" t="s">
        <v>102</v>
      </c>
      <c r="J14" s="545" t="s">
        <v>105</v>
      </c>
      <c r="K14" s="545" t="s">
        <v>108</v>
      </c>
      <c r="L14" s="552" t="s">
        <v>1</v>
      </c>
      <c r="M14" s="545" t="s">
        <v>114</v>
      </c>
      <c r="N14" s="545" t="s">
        <v>118</v>
      </c>
      <c r="O14" s="545" t="s">
        <v>121</v>
      </c>
      <c r="P14" s="545" t="s">
        <v>125</v>
      </c>
      <c r="Q14" s="545" t="s">
        <v>128</v>
      </c>
      <c r="R14" s="545" t="s">
        <v>132</v>
      </c>
      <c r="S14" s="545" t="s">
        <v>157</v>
      </c>
    </row>
    <row r="15" spans="1:19" x14ac:dyDescent="0.25">
      <c r="A15" s="547" t="s">
        <v>272</v>
      </c>
      <c r="B15" s="548" t="s">
        <v>273</v>
      </c>
      <c r="C15" s="548"/>
      <c r="D15" s="549" t="s">
        <v>252</v>
      </c>
      <c r="E15" s="548"/>
      <c r="F15" s="548" t="s">
        <v>274</v>
      </c>
      <c r="G15" s="549" t="s">
        <v>259</v>
      </c>
      <c r="H15" s="548" t="s">
        <v>275</v>
      </c>
      <c r="I15" s="548"/>
      <c r="J15" s="549">
        <v>1</v>
      </c>
      <c r="K15" s="549">
        <v>1</v>
      </c>
      <c r="L15" s="549" t="s">
        <v>276</v>
      </c>
      <c r="M15" s="553">
        <v>0</v>
      </c>
      <c r="N15" s="549"/>
      <c r="O15" s="553">
        <v>0</v>
      </c>
      <c r="P15" s="548" t="s">
        <v>48</v>
      </c>
      <c r="Q15" s="549">
        <v>1</v>
      </c>
      <c r="R15" s="549">
        <v>0</v>
      </c>
      <c r="S15" s="548" t="s">
        <v>277</v>
      </c>
    </row>
    <row r="16" spans="1:19" x14ac:dyDescent="0.25">
      <c r="A16" s="547" t="s">
        <v>250</v>
      </c>
      <c r="B16" s="548" t="s">
        <v>278</v>
      </c>
      <c r="C16" s="548"/>
      <c r="D16" s="554" t="s">
        <v>247</v>
      </c>
      <c r="E16" s="548"/>
      <c r="F16" s="548" t="s">
        <v>279</v>
      </c>
      <c r="G16" s="549" t="s">
        <v>280</v>
      </c>
      <c r="H16" s="555" t="s">
        <v>249</v>
      </c>
      <c r="I16" s="548"/>
      <c r="J16" s="549">
        <v>1</v>
      </c>
      <c r="K16" s="549">
        <v>1</v>
      </c>
      <c r="L16" s="549" t="s">
        <v>261</v>
      </c>
      <c r="M16" s="553">
        <v>0</v>
      </c>
      <c r="N16" s="549"/>
      <c r="O16" s="553">
        <v>0</v>
      </c>
      <c r="P16" s="548" t="s">
        <v>48</v>
      </c>
      <c r="Q16" s="549">
        <v>1</v>
      </c>
      <c r="R16" s="549">
        <v>0</v>
      </c>
      <c r="S16" s="548" t="s">
        <v>277</v>
      </c>
    </row>
    <row r="17" spans="1:19" x14ac:dyDescent="0.25">
      <c r="A17" s="547" t="s">
        <v>281</v>
      </c>
      <c r="B17" s="548" t="s">
        <v>282</v>
      </c>
      <c r="C17" s="548"/>
      <c r="D17" s="549" t="s">
        <v>252</v>
      </c>
      <c r="E17" s="548"/>
      <c r="F17" s="548" t="s">
        <v>283</v>
      </c>
      <c r="G17" s="549" t="s">
        <v>284</v>
      </c>
      <c r="H17" s="548" t="s">
        <v>285</v>
      </c>
      <c r="I17" s="548"/>
      <c r="J17" s="549">
        <v>1</v>
      </c>
      <c r="K17" s="549">
        <v>1</v>
      </c>
      <c r="L17" s="549" t="s">
        <v>276</v>
      </c>
      <c r="M17" s="553">
        <v>0</v>
      </c>
      <c r="N17" s="549"/>
      <c r="O17" s="553">
        <v>0</v>
      </c>
      <c r="P17" s="548" t="s">
        <v>48</v>
      </c>
      <c r="Q17" s="549">
        <v>1</v>
      </c>
      <c r="R17" s="549">
        <v>0</v>
      </c>
      <c r="S17" s="548"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8"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6" t="s">
        <v>0</v>
      </c>
      <c r="B1" s="557" t="s">
        <v>287</v>
      </c>
      <c r="C1" s="557" t="s">
        <v>288</v>
      </c>
    </row>
    <row r="2" spans="1:3" x14ac:dyDescent="0.25">
      <c r="A2" s="558">
        <v>43807</v>
      </c>
      <c r="B2" s="559" t="s">
        <v>289</v>
      </c>
      <c r="C2" s="559" t="s">
        <v>11</v>
      </c>
    </row>
    <row r="3" spans="1:3" ht="30" x14ac:dyDescent="0.25">
      <c r="A3" s="558">
        <v>43937</v>
      </c>
      <c r="B3" s="80" t="s">
        <v>290</v>
      </c>
      <c r="C3" s="559" t="s">
        <v>11</v>
      </c>
    </row>
    <row r="4" spans="1:3" x14ac:dyDescent="0.25">
      <c r="A4" s="558">
        <v>43941</v>
      </c>
      <c r="B4" s="559" t="s">
        <v>291</v>
      </c>
      <c r="C4" s="559" t="s">
        <v>11</v>
      </c>
    </row>
    <row r="5" spans="1:3" x14ac:dyDescent="0.25">
      <c r="A5" s="558">
        <v>43942</v>
      </c>
      <c r="B5" s="559" t="s">
        <v>292</v>
      </c>
      <c r="C5" s="559" t="s">
        <v>11</v>
      </c>
    </row>
    <row r="6" spans="1:3" x14ac:dyDescent="0.25">
      <c r="A6" s="558">
        <v>43963</v>
      </c>
      <c r="B6" s="559" t="s">
        <v>293</v>
      </c>
      <c r="C6" s="559" t="s">
        <v>11</v>
      </c>
    </row>
    <row r="7" spans="1:3" x14ac:dyDescent="0.25">
      <c r="A7" s="558">
        <v>43990</v>
      </c>
      <c r="B7" s="559" t="s">
        <v>294</v>
      </c>
      <c r="C7" s="559" t="s">
        <v>11</v>
      </c>
    </row>
    <row r="8" spans="1:3" ht="30" x14ac:dyDescent="0.25">
      <c r="A8" s="558">
        <v>44104</v>
      </c>
      <c r="B8" s="80" t="s">
        <v>295</v>
      </c>
      <c r="C8" s="559" t="s">
        <v>296</v>
      </c>
    </row>
    <row r="9" spans="1:3" ht="150" x14ac:dyDescent="0.25">
      <c r="A9" s="558">
        <v>44128</v>
      </c>
      <c r="B9" s="80" t="s">
        <v>297</v>
      </c>
      <c r="C9" s="559" t="s">
        <v>296</v>
      </c>
    </row>
    <row r="10" spans="1:3" x14ac:dyDescent="0.25">
      <c r="A10" s="558">
        <v>44361</v>
      </c>
      <c r="B10" s="559" t="s">
        <v>298</v>
      </c>
      <c r="C10" s="559" t="s">
        <v>299</v>
      </c>
    </row>
    <row r="11" spans="1:3" x14ac:dyDescent="0.25">
      <c r="A11" s="558">
        <v>44813</v>
      </c>
      <c r="B11" s="559" t="s">
        <v>300</v>
      </c>
      <c r="C11" s="559"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178"/>
  <sheetViews>
    <sheetView tabSelected="1" workbookViewId="0">
      <pane xSplit="2" ySplit="5" topLeftCell="F12" activePane="bottomRight" state="frozen"/>
      <selection pane="topRight" activeCell="C1" sqref="C1"/>
      <selection pane="bottomLeft" activeCell="A4" sqref="A4"/>
      <selection pane="bottomRight" activeCell="T6" sqref="T6:T170"/>
    </sheetView>
  </sheetViews>
  <sheetFormatPr defaultColWidth="9.140625" defaultRowHeight="15" x14ac:dyDescent="0.25"/>
  <cols>
    <col min="1" max="1" width="16.85546875" style="172" bestFit="1" customWidth="1"/>
    <col min="2" max="2" width="50.7109375" style="170" customWidth="1"/>
    <col min="3" max="3" width="9.28515625" style="170" bestFit="1" customWidth="1"/>
    <col min="4" max="4" width="14.140625" style="173" bestFit="1" customWidth="1"/>
    <col min="5" max="5" width="25.7109375" style="170" customWidth="1"/>
    <col min="6" max="6" width="50.7109375" style="170" customWidth="1"/>
    <col min="7" max="7" width="9.85546875" style="170" bestFit="1" customWidth="1"/>
    <col min="8" max="8" width="20.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8.140625" style="174"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54" t="s">
        <v>301</v>
      </c>
      <c r="B1" s="655"/>
      <c r="C1" s="655"/>
      <c r="D1" s="655"/>
      <c r="E1" s="655"/>
      <c r="F1" s="655"/>
      <c r="G1" s="655"/>
      <c r="H1" s="655"/>
      <c r="I1" s="655"/>
      <c r="J1" s="655"/>
      <c r="K1" s="655"/>
      <c r="L1" s="655"/>
      <c r="M1" s="655"/>
      <c r="N1" s="655"/>
      <c r="O1" s="655"/>
      <c r="P1" s="655"/>
      <c r="Q1" s="655"/>
      <c r="R1" s="655"/>
      <c r="S1" s="655"/>
      <c r="T1" s="655"/>
      <c r="U1" s="655"/>
      <c r="V1" s="655"/>
      <c r="W1" s="655"/>
      <c r="X1" s="655"/>
      <c r="Y1" s="655"/>
      <c r="Z1" s="655"/>
      <c r="AA1" s="655"/>
      <c r="AB1" s="655"/>
      <c r="AC1" s="655"/>
      <c r="AD1" s="655"/>
      <c r="AE1" s="655"/>
      <c r="AF1" s="655"/>
      <c r="AG1" s="655"/>
      <c r="AH1" s="656"/>
    </row>
    <row r="2" spans="1:34" ht="19.5" thickBot="1" x14ac:dyDescent="0.3">
      <c r="A2" s="657" t="s">
        <v>302</v>
      </c>
      <c r="B2" s="658"/>
      <c r="C2" s="658"/>
      <c r="D2" s="658"/>
      <c r="E2" s="658"/>
      <c r="F2" s="658"/>
      <c r="G2" s="658"/>
      <c r="H2" s="658"/>
      <c r="I2" s="658"/>
      <c r="J2" s="659"/>
      <c r="K2" s="401">
        <f>SUM(K6:K173)</f>
        <v>166</v>
      </c>
      <c r="L2" s="401">
        <f>SUM(L6:L173)</f>
        <v>1239</v>
      </c>
      <c r="M2" s="402"/>
      <c r="N2" s="460">
        <f>SUMPRODUCT(K6:K173,N6:N173)/K176</f>
        <v>1</v>
      </c>
      <c r="O2" s="461">
        <f>SUM(O6:O173)</f>
        <v>1239</v>
      </c>
      <c r="P2" s="462">
        <f>SUMPRODUCT(K6:K173,P6:P173)/K176</f>
        <v>1</v>
      </c>
      <c r="Q2" s="403"/>
      <c r="R2" s="404">
        <f t="shared" ref="R2:W2" si="0">SUM(R6:R173)</f>
        <v>1239</v>
      </c>
      <c r="S2" s="463">
        <f t="shared" si="0"/>
        <v>1239</v>
      </c>
      <c r="T2" s="463">
        <f t="shared" si="0"/>
        <v>1239</v>
      </c>
      <c r="U2" s="463">
        <f t="shared" si="0"/>
        <v>0</v>
      </c>
      <c r="V2" s="463">
        <f t="shared" si="0"/>
        <v>0</v>
      </c>
      <c r="W2" s="463">
        <f t="shared" si="0"/>
        <v>0</v>
      </c>
      <c r="X2" s="464">
        <f>IF((S176=0),0,((T176+U176)/S176*100%))</f>
        <v>1</v>
      </c>
      <c r="Y2" s="405"/>
      <c r="Z2" s="480">
        <f>SUM(Z6:Z173)</f>
        <v>0</v>
      </c>
      <c r="AA2" s="481">
        <f>SUM(AA6:AA173)</f>
        <v>0</v>
      </c>
      <c r="AB2" s="481">
        <f>SUM(AB6:AB173)</f>
        <v>0</v>
      </c>
      <c r="AC2" s="481">
        <f>SUM(AC6:AC173)</f>
        <v>0</v>
      </c>
      <c r="AD2" s="481">
        <f>SUM(AD6:AD173)</f>
        <v>0</v>
      </c>
      <c r="AE2" s="467">
        <f>IF((Z176=0),0,((AA176+AB176)/L176*100%))</f>
        <v>0</v>
      </c>
      <c r="AF2" s="406"/>
      <c r="AG2" s="406"/>
      <c r="AH2" s="407"/>
    </row>
    <row r="3" spans="1:34" ht="19.5" customHeight="1" thickBot="1" x14ac:dyDescent="0.3">
      <c r="A3" s="654" t="s">
        <v>303</v>
      </c>
      <c r="B3" s="655"/>
      <c r="C3" s="655"/>
      <c r="D3" s="655"/>
      <c r="E3" s="655"/>
      <c r="F3" s="655"/>
      <c r="G3" s="655"/>
      <c r="H3" s="655"/>
      <c r="I3" s="655"/>
      <c r="J3" s="655"/>
      <c r="K3" s="655"/>
      <c r="L3" s="655"/>
      <c r="M3" s="655"/>
      <c r="N3" s="655"/>
      <c r="O3" s="655"/>
      <c r="P3" s="655"/>
      <c r="Q3" s="655"/>
      <c r="R3" s="655"/>
      <c r="S3" s="655"/>
      <c r="T3" s="655"/>
      <c r="U3" s="655"/>
      <c r="V3" s="655"/>
      <c r="W3" s="655"/>
      <c r="X3" s="655"/>
      <c r="Y3" s="655"/>
      <c r="Z3" s="655"/>
      <c r="AA3" s="655"/>
      <c r="AB3" s="655"/>
      <c r="AC3" s="655"/>
      <c r="AD3" s="655"/>
      <c r="AE3" s="655"/>
      <c r="AF3" s="655"/>
      <c r="AG3" s="655"/>
      <c r="AH3" s="656"/>
    </row>
    <row r="4" spans="1:34" ht="31.5" customHeight="1" thickBot="1" x14ac:dyDescent="0.3">
      <c r="A4" s="660" t="s">
        <v>76</v>
      </c>
      <c r="B4" s="661"/>
      <c r="C4" s="661"/>
      <c r="D4" s="661"/>
      <c r="E4" s="661"/>
      <c r="F4" s="661"/>
      <c r="G4" s="661"/>
      <c r="H4" s="661"/>
      <c r="I4" s="661"/>
      <c r="J4" s="661"/>
      <c r="K4" s="661"/>
      <c r="L4" s="661"/>
      <c r="M4" s="662"/>
      <c r="N4" s="663" t="s">
        <v>304</v>
      </c>
      <c r="O4" s="664"/>
      <c r="P4" s="665"/>
      <c r="Q4" s="670" t="s">
        <v>305</v>
      </c>
      <c r="R4" s="671"/>
      <c r="S4" s="671"/>
      <c r="T4" s="671"/>
      <c r="U4" s="671"/>
      <c r="V4" s="671"/>
      <c r="W4" s="671"/>
      <c r="X4" s="671"/>
      <c r="Y4" s="672"/>
      <c r="Z4" s="666" t="s">
        <v>306</v>
      </c>
      <c r="AA4" s="667"/>
      <c r="AB4" s="667"/>
      <c r="AC4" s="667"/>
      <c r="AD4" s="667"/>
      <c r="AE4" s="668"/>
      <c r="AF4" s="668"/>
      <c r="AG4" s="668"/>
      <c r="AH4" s="669"/>
    </row>
    <row r="5" spans="1:34" s="171" customFormat="1" ht="15.75" thickBot="1" x14ac:dyDescent="0.3">
      <c r="A5" s="352" t="s">
        <v>77</v>
      </c>
      <c r="B5" s="353" t="s">
        <v>81</v>
      </c>
      <c r="C5" s="353" t="s">
        <v>84</v>
      </c>
      <c r="D5" s="354" t="s">
        <v>88</v>
      </c>
      <c r="E5" s="353" t="s">
        <v>91</v>
      </c>
      <c r="F5" s="353" t="s">
        <v>94</v>
      </c>
      <c r="G5" s="353" t="s">
        <v>96</v>
      </c>
      <c r="H5" s="353" t="s">
        <v>99</v>
      </c>
      <c r="I5" s="353" t="s">
        <v>307</v>
      </c>
      <c r="J5" s="353" t="s">
        <v>102</v>
      </c>
      <c r="K5" s="355" t="s">
        <v>105</v>
      </c>
      <c r="L5" s="355" t="s">
        <v>108</v>
      </c>
      <c r="M5" s="536" t="s">
        <v>1</v>
      </c>
      <c r="N5" s="363" t="s">
        <v>114</v>
      </c>
      <c r="O5" s="357" t="s">
        <v>118</v>
      </c>
      <c r="P5" s="364" t="s">
        <v>121</v>
      </c>
      <c r="Q5" s="362" t="s">
        <v>125</v>
      </c>
      <c r="R5" s="358" t="s">
        <v>128</v>
      </c>
      <c r="S5" s="358" t="s">
        <v>132</v>
      </c>
      <c r="T5" s="359" t="s">
        <v>30</v>
      </c>
      <c r="U5" s="359" t="s">
        <v>135</v>
      </c>
      <c r="V5" s="359" t="s">
        <v>36</v>
      </c>
      <c r="W5" s="359" t="s">
        <v>138</v>
      </c>
      <c r="X5" s="359" t="s">
        <v>140</v>
      </c>
      <c r="Y5" s="360" t="s">
        <v>142</v>
      </c>
      <c r="Z5" s="361" t="s">
        <v>132</v>
      </c>
      <c r="AA5" s="359" t="s">
        <v>30</v>
      </c>
      <c r="AB5" s="359" t="s">
        <v>135</v>
      </c>
      <c r="AC5" s="359" t="s">
        <v>36</v>
      </c>
      <c r="AD5" s="359" t="s">
        <v>138</v>
      </c>
      <c r="AE5" s="359" t="s">
        <v>140</v>
      </c>
      <c r="AF5" s="353" t="s">
        <v>155</v>
      </c>
      <c r="AG5" s="353" t="s">
        <v>157</v>
      </c>
      <c r="AH5" s="356" t="s">
        <v>160</v>
      </c>
    </row>
    <row r="6" spans="1:34" ht="15.75" hidden="1" thickBot="1" x14ac:dyDescent="0.3">
      <c r="A6" s="329" t="s">
        <v>308</v>
      </c>
      <c r="B6" s="563" t="s">
        <v>309</v>
      </c>
      <c r="C6" s="568" t="s">
        <v>310</v>
      </c>
      <c r="D6" s="569" t="s">
        <v>311</v>
      </c>
      <c r="E6" s="568" t="s">
        <v>312</v>
      </c>
      <c r="F6" s="563" t="s">
        <v>313</v>
      </c>
      <c r="G6" s="574" t="s">
        <v>314</v>
      </c>
      <c r="H6" s="563" t="s">
        <v>312</v>
      </c>
      <c r="I6" s="437" t="s">
        <v>315</v>
      </c>
      <c r="J6" s="563" t="s">
        <v>312</v>
      </c>
      <c r="K6" s="576">
        <v>1</v>
      </c>
      <c r="L6" s="578">
        <v>1</v>
      </c>
      <c r="M6" s="580" t="s">
        <v>33</v>
      </c>
      <c r="N6" s="583">
        <v>1</v>
      </c>
      <c r="O6" s="578">
        <v>1</v>
      </c>
      <c r="P6" s="585">
        <v>1</v>
      </c>
      <c r="Q6" s="586" t="s">
        <v>48</v>
      </c>
      <c r="R6" s="578">
        <v>1</v>
      </c>
      <c r="S6" s="578">
        <v>1</v>
      </c>
      <c r="T6" s="578">
        <v>1</v>
      </c>
      <c r="U6" s="469"/>
      <c r="V6" s="469"/>
      <c r="W6" s="469"/>
      <c r="X6" s="482">
        <f t="shared" ref="X6:X69" si="1">IF((S6=0),0,((T6+U6)/S6*100%))</f>
        <v>1</v>
      </c>
      <c r="Y6" s="438"/>
      <c r="Z6" s="468"/>
      <c r="AA6" s="469"/>
      <c r="AB6" s="469"/>
      <c r="AC6" s="469"/>
      <c r="AD6" s="469"/>
      <c r="AE6" s="470">
        <f>IF((Z6=0),0,((AA6+AB6)/Z6*100%))</f>
        <v>0</v>
      </c>
      <c r="AF6" s="436"/>
      <c r="AG6" s="588" t="e">
        <f>VLOOKUP(B6,'[1]Feature Summary'!$A$7:$U$4028,21,FALSE)</f>
        <v>#N/A</v>
      </c>
      <c r="AH6" s="439"/>
    </row>
    <row r="7" spans="1:34" ht="15.75" hidden="1" thickBot="1" x14ac:dyDescent="0.3">
      <c r="A7" s="330" t="s">
        <v>316</v>
      </c>
      <c r="B7" s="564" t="s">
        <v>317</v>
      </c>
      <c r="C7" s="566" t="s">
        <v>310</v>
      </c>
      <c r="D7" s="570" t="s">
        <v>318</v>
      </c>
      <c r="E7" s="566" t="s">
        <v>312</v>
      </c>
      <c r="F7" s="564" t="s">
        <v>319</v>
      </c>
      <c r="G7" s="575" t="e">
        <f>VLOOKUP(A7,'[1]Feature Summary'!$A$7:$C$4028,3,FALSE)</f>
        <v>#N/A</v>
      </c>
      <c r="H7" s="564" t="s">
        <v>312</v>
      </c>
      <c r="I7" s="437" t="s">
        <v>315</v>
      </c>
      <c r="J7" s="564" t="s">
        <v>312</v>
      </c>
      <c r="K7" s="577">
        <v>1</v>
      </c>
      <c r="L7" s="579">
        <v>1</v>
      </c>
      <c r="M7" s="581" t="s">
        <v>33</v>
      </c>
      <c r="N7" s="584">
        <v>1</v>
      </c>
      <c r="O7" s="579">
        <v>1</v>
      </c>
      <c r="P7" s="585">
        <v>1</v>
      </c>
      <c r="Q7" s="587" t="s">
        <v>48</v>
      </c>
      <c r="R7" s="579">
        <v>1</v>
      </c>
      <c r="S7" s="579">
        <v>1</v>
      </c>
      <c r="T7" s="579">
        <v>1</v>
      </c>
      <c r="U7" s="472"/>
      <c r="V7" s="472"/>
      <c r="W7" s="472"/>
      <c r="X7" s="483">
        <f>IF((S7=0),0,((T7+U7)/S7*100%))</f>
        <v>1</v>
      </c>
      <c r="Y7" s="440"/>
      <c r="Z7" s="471"/>
      <c r="AA7" s="472"/>
      <c r="AB7" s="472"/>
      <c r="AC7" s="472"/>
      <c r="AD7" s="472"/>
      <c r="AE7" s="473">
        <f>IF((Z7=0),0,((AA7+AB7)/Z7*100%))</f>
        <v>0</v>
      </c>
      <c r="AF7" s="323"/>
      <c r="AG7" s="589" t="e">
        <f>VLOOKUP(B7,'[1]Feature Summary'!$A$7:$U$4028,21,FALSE)</f>
        <v>#N/A</v>
      </c>
      <c r="AH7" s="324"/>
    </row>
    <row r="8" spans="1:34" ht="15.75" hidden="1" thickBot="1" x14ac:dyDescent="0.3">
      <c r="A8" s="330" t="s">
        <v>320</v>
      </c>
      <c r="B8" s="564" t="s">
        <v>321</v>
      </c>
      <c r="C8" s="566" t="s">
        <v>310</v>
      </c>
      <c r="D8" s="570" t="s">
        <v>311</v>
      </c>
      <c r="E8" s="566" t="s">
        <v>322</v>
      </c>
      <c r="F8" s="564" t="s">
        <v>323</v>
      </c>
      <c r="G8" s="575" t="e">
        <f>VLOOKUP(A8,'[1]Feature Summary'!$A$7:$C$4028,3,FALSE)</f>
        <v>#N/A</v>
      </c>
      <c r="H8" s="564" t="s">
        <v>324</v>
      </c>
      <c r="I8" s="437" t="s">
        <v>35</v>
      </c>
      <c r="J8" s="564" t="s">
        <v>47</v>
      </c>
      <c r="K8" s="577">
        <v>1</v>
      </c>
      <c r="L8" s="579">
        <v>1</v>
      </c>
      <c r="M8" s="581" t="s">
        <v>39</v>
      </c>
      <c r="N8" s="584">
        <v>1</v>
      </c>
      <c r="O8" s="579">
        <v>1</v>
      </c>
      <c r="P8" s="585">
        <v>1</v>
      </c>
      <c r="Q8" s="587" t="s">
        <v>48</v>
      </c>
      <c r="R8" s="579">
        <v>1</v>
      </c>
      <c r="S8" s="579">
        <v>1</v>
      </c>
      <c r="T8" s="579">
        <v>1</v>
      </c>
      <c r="U8" s="472"/>
      <c r="V8" s="472"/>
      <c r="W8" s="472"/>
      <c r="X8" s="483">
        <f>IF((S8=0),0,((T8+U8)/S8*100%))</f>
        <v>1</v>
      </c>
      <c r="Y8" s="440"/>
      <c r="Z8" s="471"/>
      <c r="AA8" s="472"/>
      <c r="AB8" s="472"/>
      <c r="AC8" s="472"/>
      <c r="AD8" s="472"/>
      <c r="AE8" s="473">
        <f>IF((Z8=0),0,((AA8+AB8)/Z8*100%))</f>
        <v>0</v>
      </c>
      <c r="AF8" s="323"/>
      <c r="AG8" s="589" t="e">
        <f>VLOOKUP(B8,'[1]Feature Summary'!$A$7:$U$4028,21,FALSE)</f>
        <v>#N/A</v>
      </c>
      <c r="AH8" s="324"/>
    </row>
    <row r="9" spans="1:34" ht="15.75" hidden="1" thickBot="1" x14ac:dyDescent="0.3">
      <c r="A9" s="330" t="s">
        <v>325</v>
      </c>
      <c r="B9" s="564" t="s">
        <v>326</v>
      </c>
      <c r="C9" s="566" t="s">
        <v>310</v>
      </c>
      <c r="D9" s="570" t="s">
        <v>327</v>
      </c>
      <c r="E9" s="566"/>
      <c r="F9" s="564" t="s">
        <v>328</v>
      </c>
      <c r="G9" s="575" t="e">
        <f>VLOOKUP(A9,'[1]Feature Summary'!$A$7:$C$4028,3,FALSE)</f>
        <v>#N/A</v>
      </c>
      <c r="H9" s="564" t="s">
        <v>329</v>
      </c>
      <c r="I9" s="437" t="s">
        <v>315</v>
      </c>
      <c r="J9" s="564" t="s">
        <v>330</v>
      </c>
      <c r="K9" s="577">
        <v>1</v>
      </c>
      <c r="L9" s="579">
        <v>1</v>
      </c>
      <c r="M9" s="581" t="s">
        <v>33</v>
      </c>
      <c r="N9" s="584">
        <v>1</v>
      </c>
      <c r="O9" s="579">
        <v>1</v>
      </c>
      <c r="P9" s="585">
        <v>1</v>
      </c>
      <c r="Q9" s="587" t="s">
        <v>38</v>
      </c>
      <c r="R9" s="579">
        <v>1</v>
      </c>
      <c r="S9" s="579">
        <v>1</v>
      </c>
      <c r="T9" s="579">
        <v>1</v>
      </c>
      <c r="U9" s="472"/>
      <c r="V9" s="472"/>
      <c r="W9" s="472"/>
      <c r="X9" s="483">
        <f>IF((S9=0),0,((T9+U9)/S9*100%))</f>
        <v>1</v>
      </c>
      <c r="Y9" s="440"/>
      <c r="Z9" s="471"/>
      <c r="AA9" s="472"/>
      <c r="AB9" s="472"/>
      <c r="AC9" s="472"/>
      <c r="AD9" s="472"/>
      <c r="AE9" s="473">
        <f t="shared" ref="AE9:AE70" si="2">IF((Z9=0),0,((AA9+AB9)/Z9*100%))</f>
        <v>0</v>
      </c>
      <c r="AF9" s="323"/>
      <c r="AG9" s="589" t="e">
        <f>VLOOKUP(B9,'[1]Feature Summary'!$A$7:$U$4028,21,FALSE)</f>
        <v>#N/A</v>
      </c>
      <c r="AH9" s="324"/>
    </row>
    <row r="10" spans="1:34" ht="15.75" hidden="1" thickBot="1" x14ac:dyDescent="0.3">
      <c r="A10" s="330" t="s">
        <v>331</v>
      </c>
      <c r="B10" s="564" t="s">
        <v>332</v>
      </c>
      <c r="C10" s="566" t="s">
        <v>310</v>
      </c>
      <c r="D10" s="570" t="s">
        <v>333</v>
      </c>
      <c r="E10" s="566" t="s">
        <v>334</v>
      </c>
      <c r="F10" s="564" t="s">
        <v>332</v>
      </c>
      <c r="G10" s="575" t="e">
        <f>VLOOKUP(A10,'[1]Feature Summary'!$A$7:$C$4028,3,FALSE)</f>
        <v>#N/A</v>
      </c>
      <c r="H10" s="564" t="s">
        <v>335</v>
      </c>
      <c r="I10" s="437" t="s">
        <v>35</v>
      </c>
      <c r="J10" s="564"/>
      <c r="K10" s="577">
        <v>1</v>
      </c>
      <c r="L10" s="579">
        <v>1</v>
      </c>
      <c r="M10" s="581" t="s">
        <v>33</v>
      </c>
      <c r="N10" s="584">
        <v>1</v>
      </c>
      <c r="O10" s="579">
        <v>1</v>
      </c>
      <c r="P10" s="585">
        <v>1</v>
      </c>
      <c r="Q10" s="587" t="s">
        <v>38</v>
      </c>
      <c r="R10" s="579">
        <v>1</v>
      </c>
      <c r="S10" s="579">
        <v>1</v>
      </c>
      <c r="T10" s="579">
        <v>1</v>
      </c>
      <c r="U10" s="472"/>
      <c r="V10" s="472"/>
      <c r="W10" s="472"/>
      <c r="X10" s="483">
        <f t="shared" si="1"/>
        <v>1</v>
      </c>
      <c r="Y10" s="440"/>
      <c r="Z10" s="471"/>
      <c r="AA10" s="472"/>
      <c r="AB10" s="472"/>
      <c r="AC10" s="472"/>
      <c r="AD10" s="472"/>
      <c r="AE10" s="473">
        <f>IF((Z10=0),0,((AA10+AB10)/Z10*100%))</f>
        <v>0</v>
      </c>
      <c r="AF10" s="323"/>
      <c r="AG10" s="589" t="e">
        <f>VLOOKUP(B10,'[1]Feature Summary'!$A$7:$U$4028,21,FALSE)</f>
        <v>#N/A</v>
      </c>
      <c r="AH10" s="324"/>
    </row>
    <row r="11" spans="1:34" ht="15.75" hidden="1" thickBot="1" x14ac:dyDescent="0.3">
      <c r="A11" s="330" t="s">
        <v>336</v>
      </c>
      <c r="B11" s="564" t="s">
        <v>337</v>
      </c>
      <c r="C11" s="566" t="s">
        <v>310</v>
      </c>
      <c r="D11" s="570" t="s">
        <v>333</v>
      </c>
      <c r="E11" s="566" t="s">
        <v>338</v>
      </c>
      <c r="F11" s="564" t="s">
        <v>339</v>
      </c>
      <c r="G11" s="575" t="e">
        <f>VLOOKUP(A11,'[1]Feature Summary'!$A$7:$C$4028,3,FALSE)</f>
        <v>#N/A</v>
      </c>
      <c r="H11" s="564" t="s">
        <v>340</v>
      </c>
      <c r="I11" s="437" t="s">
        <v>315</v>
      </c>
      <c r="J11" s="564" t="s">
        <v>341</v>
      </c>
      <c r="K11" s="577">
        <v>1</v>
      </c>
      <c r="L11" s="579">
        <v>1</v>
      </c>
      <c r="M11" s="581" t="s">
        <v>33</v>
      </c>
      <c r="N11" s="584">
        <v>1</v>
      </c>
      <c r="O11" s="579">
        <v>1</v>
      </c>
      <c r="P11" s="585">
        <v>1</v>
      </c>
      <c r="Q11" s="587" t="s">
        <v>48</v>
      </c>
      <c r="R11" s="579">
        <v>1</v>
      </c>
      <c r="S11" s="579">
        <v>1</v>
      </c>
      <c r="T11" s="579">
        <v>1</v>
      </c>
      <c r="U11" s="472"/>
      <c r="V11" s="472"/>
      <c r="W11" s="472"/>
      <c r="X11" s="483">
        <f>IF((S11=0),0,((T11+U11)/S11*100%))</f>
        <v>1</v>
      </c>
      <c r="Y11" s="440"/>
      <c r="Z11" s="471"/>
      <c r="AA11" s="472"/>
      <c r="AB11" s="472"/>
      <c r="AC11" s="472"/>
      <c r="AD11" s="472"/>
      <c r="AE11" s="473">
        <f>IF((Z11=0),0,((AA11+AB11)/Z11*100%))</f>
        <v>0</v>
      </c>
      <c r="AF11" s="323"/>
      <c r="AG11" s="589" t="e">
        <f>VLOOKUP(B11,'[1]Feature Summary'!$A$7:$U$4028,21,FALSE)</f>
        <v>#N/A</v>
      </c>
      <c r="AH11" s="324"/>
    </row>
    <row r="12" spans="1:34" ht="15.75" thickBot="1" x14ac:dyDescent="0.3">
      <c r="A12" s="330" t="s">
        <v>342</v>
      </c>
      <c r="B12" s="565" t="s">
        <v>343</v>
      </c>
      <c r="C12" s="566" t="s">
        <v>310</v>
      </c>
      <c r="D12" s="570" t="s">
        <v>333</v>
      </c>
      <c r="E12" s="566" t="s">
        <v>344</v>
      </c>
      <c r="F12" s="565" t="s">
        <v>345</v>
      </c>
      <c r="G12" s="575" t="e">
        <f>VLOOKUP(A12,'[1]Feature Summary'!$A$7:$C$4028,3,FALSE)</f>
        <v>#N/A</v>
      </c>
      <c r="H12" s="564" t="s">
        <v>346</v>
      </c>
      <c r="I12" s="437" t="s">
        <v>35</v>
      </c>
      <c r="J12" s="564" t="s">
        <v>47</v>
      </c>
      <c r="K12" s="577">
        <v>2</v>
      </c>
      <c r="L12" s="579">
        <v>2</v>
      </c>
      <c r="M12" s="581" t="s">
        <v>39</v>
      </c>
      <c r="N12" s="584">
        <v>1</v>
      </c>
      <c r="O12" s="579">
        <v>2</v>
      </c>
      <c r="P12" s="585">
        <v>1</v>
      </c>
      <c r="Q12" s="587" t="s">
        <v>48</v>
      </c>
      <c r="R12" s="579">
        <v>2</v>
      </c>
      <c r="S12" s="579">
        <v>2</v>
      </c>
      <c r="T12" s="579">
        <v>2</v>
      </c>
      <c r="U12" s="472"/>
      <c r="V12" s="472"/>
      <c r="W12" s="472"/>
      <c r="X12" s="483">
        <f>IF((S12=0),0,((T12+U12)/S12*100%))</f>
        <v>1</v>
      </c>
      <c r="Y12" s="440"/>
      <c r="Z12" s="471"/>
      <c r="AA12" s="472"/>
      <c r="AB12" s="472"/>
      <c r="AC12" s="472"/>
      <c r="AD12" s="472"/>
      <c r="AE12" s="473">
        <f t="shared" si="2"/>
        <v>0</v>
      </c>
      <c r="AF12" s="323"/>
      <c r="AG12" s="589" t="e">
        <f>VLOOKUP(B12,'[1]Feature Summary'!$A$7:$U$4028,21,FALSE)</f>
        <v>#N/A</v>
      </c>
      <c r="AH12" s="324"/>
    </row>
    <row r="13" spans="1:34" ht="15.75" hidden="1" thickBot="1" x14ac:dyDescent="0.3">
      <c r="A13" s="330" t="s">
        <v>347</v>
      </c>
      <c r="B13" s="564" t="s">
        <v>348</v>
      </c>
      <c r="C13" s="566" t="s">
        <v>310</v>
      </c>
      <c r="D13" s="570" t="s">
        <v>349</v>
      </c>
      <c r="E13" s="566" t="s">
        <v>47</v>
      </c>
      <c r="F13" s="564" t="s">
        <v>350</v>
      </c>
      <c r="G13" s="575" t="e">
        <f>VLOOKUP(A13,'[1]Feature Summary'!$A$7:$C$4028,3,FALSE)</f>
        <v>#N/A</v>
      </c>
      <c r="H13" s="564" t="s">
        <v>47</v>
      </c>
      <c r="I13" s="437" t="s">
        <v>315</v>
      </c>
      <c r="J13" s="564" t="s">
        <v>47</v>
      </c>
      <c r="K13" s="577">
        <v>1</v>
      </c>
      <c r="L13" s="579">
        <v>1</v>
      </c>
      <c r="M13" s="581" t="s">
        <v>33</v>
      </c>
      <c r="N13" s="584">
        <v>1</v>
      </c>
      <c r="O13" s="579">
        <v>1</v>
      </c>
      <c r="P13" s="585">
        <v>1</v>
      </c>
      <c r="Q13" s="587" t="s">
        <v>48</v>
      </c>
      <c r="R13" s="579">
        <v>1</v>
      </c>
      <c r="S13" s="579">
        <v>1</v>
      </c>
      <c r="T13" s="579">
        <v>1</v>
      </c>
      <c r="U13" s="472"/>
      <c r="V13" s="472"/>
      <c r="W13" s="472"/>
      <c r="X13" s="483">
        <f t="shared" si="1"/>
        <v>1</v>
      </c>
      <c r="Y13" s="440"/>
      <c r="Z13" s="471"/>
      <c r="AA13" s="472"/>
      <c r="AB13" s="472"/>
      <c r="AC13" s="472"/>
      <c r="AD13" s="472"/>
      <c r="AE13" s="473">
        <f>IF((Z13=0),0,((AA13+AB13)/Z13*100%))</f>
        <v>0</v>
      </c>
      <c r="AF13" s="323"/>
      <c r="AG13" s="589" t="e">
        <f>VLOOKUP(B13,'[1]Feature Summary'!$A$7:$U$4028,21,FALSE)</f>
        <v>#N/A</v>
      </c>
      <c r="AH13" s="324"/>
    </row>
    <row r="14" spans="1:34" ht="15.75" hidden="1" thickBot="1" x14ac:dyDescent="0.3">
      <c r="A14" s="330" t="s">
        <v>347</v>
      </c>
      <c r="B14" s="564" t="s">
        <v>348</v>
      </c>
      <c r="C14" s="566" t="s">
        <v>310</v>
      </c>
      <c r="D14" s="570" t="s">
        <v>349</v>
      </c>
      <c r="E14" s="566" t="s">
        <v>351</v>
      </c>
      <c r="F14" s="564" t="s">
        <v>352</v>
      </c>
      <c r="G14" s="575" t="e">
        <f>VLOOKUP(A14,'[1]Feature Summary'!$A$7:$C$4028,3,FALSE)</f>
        <v>#N/A</v>
      </c>
      <c r="H14" s="564" t="s">
        <v>353</v>
      </c>
      <c r="I14" s="437" t="s">
        <v>35</v>
      </c>
      <c r="J14" s="564" t="s">
        <v>47</v>
      </c>
      <c r="K14" s="577">
        <v>1</v>
      </c>
      <c r="L14" s="579">
        <v>1</v>
      </c>
      <c r="M14" s="581" t="s">
        <v>33</v>
      </c>
      <c r="N14" s="584">
        <v>1</v>
      </c>
      <c r="O14" s="579">
        <v>1</v>
      </c>
      <c r="P14" s="585">
        <v>1</v>
      </c>
      <c r="Q14" s="587" t="s">
        <v>48</v>
      </c>
      <c r="R14" s="579">
        <v>1</v>
      </c>
      <c r="S14" s="579">
        <v>1</v>
      </c>
      <c r="T14" s="579">
        <v>1</v>
      </c>
      <c r="U14" s="472"/>
      <c r="V14" s="472"/>
      <c r="W14" s="472"/>
      <c r="X14" s="483">
        <f t="shared" si="1"/>
        <v>1</v>
      </c>
      <c r="Y14" s="440"/>
      <c r="Z14" s="471"/>
      <c r="AA14" s="472"/>
      <c r="AB14" s="472"/>
      <c r="AC14" s="472"/>
      <c r="AD14" s="472"/>
      <c r="AE14" s="473">
        <f t="shared" si="2"/>
        <v>0</v>
      </c>
      <c r="AF14" s="323"/>
      <c r="AG14" s="589" t="e">
        <f>VLOOKUP(B14,'[1]Feature Summary'!$A$7:$U$4028,21,FALSE)</f>
        <v>#N/A</v>
      </c>
      <c r="AH14" s="324"/>
    </row>
    <row r="15" spans="1:34" ht="15.75" hidden="1" thickBot="1" x14ac:dyDescent="0.3">
      <c r="A15" s="330" t="s">
        <v>347</v>
      </c>
      <c r="B15" s="564" t="s">
        <v>348</v>
      </c>
      <c r="C15" s="566" t="s">
        <v>310</v>
      </c>
      <c r="D15" s="570" t="s">
        <v>349</v>
      </c>
      <c r="E15" s="566" t="s">
        <v>351</v>
      </c>
      <c r="F15" s="564" t="s">
        <v>354</v>
      </c>
      <c r="G15" s="575" t="e">
        <f>VLOOKUP(A15,'[1]Feature Summary'!$A$7:$C$4028,3,FALSE)</f>
        <v>#N/A</v>
      </c>
      <c r="H15" s="564" t="s">
        <v>355</v>
      </c>
      <c r="I15" s="437" t="s">
        <v>315</v>
      </c>
      <c r="J15" s="564" t="s">
        <v>47</v>
      </c>
      <c r="K15" s="577">
        <v>1</v>
      </c>
      <c r="L15" s="579">
        <v>1</v>
      </c>
      <c r="M15" s="581" t="s">
        <v>33</v>
      </c>
      <c r="N15" s="584">
        <v>1</v>
      </c>
      <c r="O15" s="579">
        <v>1</v>
      </c>
      <c r="P15" s="585">
        <v>1</v>
      </c>
      <c r="Q15" s="587" t="s">
        <v>38</v>
      </c>
      <c r="R15" s="579">
        <v>1</v>
      </c>
      <c r="S15" s="579">
        <v>1</v>
      </c>
      <c r="T15" s="579">
        <v>1</v>
      </c>
      <c r="U15" s="472"/>
      <c r="V15" s="472"/>
      <c r="W15" s="472"/>
      <c r="X15" s="483">
        <f t="shared" si="1"/>
        <v>1</v>
      </c>
      <c r="Y15" s="440"/>
      <c r="Z15" s="471"/>
      <c r="AA15" s="472"/>
      <c r="AB15" s="472"/>
      <c r="AC15" s="472"/>
      <c r="AD15" s="472"/>
      <c r="AE15" s="473">
        <f t="shared" si="2"/>
        <v>0</v>
      </c>
      <c r="AF15" s="323"/>
      <c r="AG15" s="589" t="e">
        <f>VLOOKUP(B15,'[1]Feature Summary'!$A$7:$U$4028,21,FALSE)</f>
        <v>#N/A</v>
      </c>
      <c r="AH15" s="324"/>
    </row>
    <row r="16" spans="1:34" ht="15.75" thickBot="1" x14ac:dyDescent="0.3">
      <c r="A16" s="330" t="s">
        <v>347</v>
      </c>
      <c r="B16" s="564" t="s">
        <v>348</v>
      </c>
      <c r="C16" s="566" t="s">
        <v>310</v>
      </c>
      <c r="D16" s="570" t="s">
        <v>349</v>
      </c>
      <c r="E16" s="566" t="s">
        <v>356</v>
      </c>
      <c r="F16" s="564" t="s">
        <v>357</v>
      </c>
      <c r="G16" s="575" t="e">
        <f>VLOOKUP(A16,'[1]Feature Summary'!$A$7:$C$4028,3,FALSE)</f>
        <v>#N/A</v>
      </c>
      <c r="H16" s="564" t="s">
        <v>358</v>
      </c>
      <c r="I16" s="437" t="s">
        <v>315</v>
      </c>
      <c r="J16" s="564" t="s">
        <v>359</v>
      </c>
      <c r="K16" s="577">
        <v>1</v>
      </c>
      <c r="L16" s="579">
        <v>2</v>
      </c>
      <c r="M16" s="581" t="s">
        <v>39</v>
      </c>
      <c r="N16" s="584">
        <v>1</v>
      </c>
      <c r="O16" s="579">
        <v>2</v>
      </c>
      <c r="P16" s="585">
        <v>1</v>
      </c>
      <c r="Q16" s="587" t="s">
        <v>48</v>
      </c>
      <c r="R16" s="579">
        <v>2</v>
      </c>
      <c r="S16" s="579">
        <v>2</v>
      </c>
      <c r="T16" s="579">
        <v>2</v>
      </c>
      <c r="U16" s="472"/>
      <c r="V16" s="472"/>
      <c r="W16" s="472"/>
      <c r="X16" s="483">
        <f>IF((S16=0),0,((T16+U16)/S16*100%))</f>
        <v>1</v>
      </c>
      <c r="Y16" s="440"/>
      <c r="Z16" s="471"/>
      <c r="AA16" s="472"/>
      <c r="AB16" s="472"/>
      <c r="AC16" s="472"/>
      <c r="AD16" s="472"/>
      <c r="AE16" s="473">
        <f t="shared" si="2"/>
        <v>0</v>
      </c>
      <c r="AF16" s="323"/>
      <c r="AG16" s="589" t="e">
        <f>VLOOKUP(B16,'[1]Feature Summary'!$A$7:$U$4028,21,FALSE)</f>
        <v>#N/A</v>
      </c>
      <c r="AH16" s="324"/>
    </row>
    <row r="17" spans="1:34" ht="15.75" hidden="1" thickBot="1" x14ac:dyDescent="0.3">
      <c r="A17" s="330" t="s">
        <v>347</v>
      </c>
      <c r="B17" s="564" t="s">
        <v>360</v>
      </c>
      <c r="C17" s="566" t="s">
        <v>310</v>
      </c>
      <c r="D17" s="570" t="s">
        <v>349</v>
      </c>
      <c r="E17" s="566" t="s">
        <v>361</v>
      </c>
      <c r="F17" s="564" t="s">
        <v>362</v>
      </c>
      <c r="G17" s="575" t="e">
        <f>VLOOKUP(A17,'[1]Feature Summary'!$A$7:$C$4028,3,FALSE)</f>
        <v>#N/A</v>
      </c>
      <c r="H17" s="564" t="s">
        <v>363</v>
      </c>
      <c r="I17" s="437" t="s">
        <v>315</v>
      </c>
      <c r="J17" s="564" t="s">
        <v>47</v>
      </c>
      <c r="K17" s="577">
        <v>1</v>
      </c>
      <c r="L17" s="579">
        <v>1</v>
      </c>
      <c r="M17" s="581" t="s">
        <v>33</v>
      </c>
      <c r="N17" s="584">
        <v>1</v>
      </c>
      <c r="O17" s="579">
        <v>1</v>
      </c>
      <c r="P17" s="585">
        <v>1</v>
      </c>
      <c r="Q17" s="587" t="s">
        <v>38</v>
      </c>
      <c r="R17" s="579">
        <v>1</v>
      </c>
      <c r="S17" s="579">
        <v>1</v>
      </c>
      <c r="T17" s="579">
        <v>1</v>
      </c>
      <c r="U17" s="472"/>
      <c r="V17" s="472"/>
      <c r="W17" s="472"/>
      <c r="X17" s="483">
        <f t="shared" si="1"/>
        <v>1</v>
      </c>
      <c r="Y17" s="440"/>
      <c r="Z17" s="471"/>
      <c r="AA17" s="472"/>
      <c r="AB17" s="472"/>
      <c r="AC17" s="472"/>
      <c r="AD17" s="472"/>
      <c r="AE17" s="473">
        <f t="shared" si="2"/>
        <v>0</v>
      </c>
      <c r="AF17" s="323"/>
      <c r="AG17" s="589" t="e">
        <f>VLOOKUP(B17,'[1]Feature Summary'!$A$7:$U$4028,21,FALSE)</f>
        <v>#N/A</v>
      </c>
      <c r="AH17" s="324"/>
    </row>
    <row r="18" spans="1:34" ht="15.75" hidden="1" thickBot="1" x14ac:dyDescent="0.3">
      <c r="A18" s="330" t="s">
        <v>347</v>
      </c>
      <c r="B18" s="564" t="s">
        <v>348</v>
      </c>
      <c r="C18" s="566" t="s">
        <v>310</v>
      </c>
      <c r="D18" s="570" t="s">
        <v>349</v>
      </c>
      <c r="E18" s="566" t="s">
        <v>351</v>
      </c>
      <c r="F18" s="564" t="s">
        <v>364</v>
      </c>
      <c r="G18" s="575" t="e">
        <f>VLOOKUP(A18,'[1]Feature Summary'!$A$7:$C$4028,3,FALSE)</f>
        <v>#N/A</v>
      </c>
      <c r="H18" s="564" t="s">
        <v>365</v>
      </c>
      <c r="I18" s="437" t="s">
        <v>315</v>
      </c>
      <c r="J18" s="564" t="s">
        <v>47</v>
      </c>
      <c r="K18" s="577">
        <v>1</v>
      </c>
      <c r="L18" s="579">
        <v>1</v>
      </c>
      <c r="M18" s="581" t="s">
        <v>33</v>
      </c>
      <c r="N18" s="584">
        <v>1</v>
      </c>
      <c r="O18" s="579">
        <v>1</v>
      </c>
      <c r="P18" s="585">
        <v>1</v>
      </c>
      <c r="Q18" s="587" t="s">
        <v>38</v>
      </c>
      <c r="R18" s="579">
        <v>1</v>
      </c>
      <c r="S18" s="579">
        <v>1</v>
      </c>
      <c r="T18" s="579">
        <v>1</v>
      </c>
      <c r="U18" s="472"/>
      <c r="V18" s="472"/>
      <c r="W18" s="472"/>
      <c r="X18" s="483">
        <f t="shared" si="1"/>
        <v>1</v>
      </c>
      <c r="Y18" s="440"/>
      <c r="Z18" s="471"/>
      <c r="AA18" s="472"/>
      <c r="AB18" s="472"/>
      <c r="AC18" s="472"/>
      <c r="AD18" s="472"/>
      <c r="AE18" s="473">
        <f t="shared" si="2"/>
        <v>0</v>
      </c>
      <c r="AF18" s="323"/>
      <c r="AG18" s="589" t="e">
        <f>VLOOKUP(B18,'[1]Feature Summary'!$A$7:$U$4028,21,FALSE)</f>
        <v>#N/A</v>
      </c>
      <c r="AH18" s="324"/>
    </row>
    <row r="19" spans="1:34" ht="15.75" hidden="1" thickBot="1" x14ac:dyDescent="0.3">
      <c r="A19" s="330" t="s">
        <v>347</v>
      </c>
      <c r="B19" s="564" t="s">
        <v>348</v>
      </c>
      <c r="C19" s="566" t="s">
        <v>310</v>
      </c>
      <c r="D19" s="570" t="s">
        <v>349</v>
      </c>
      <c r="E19" s="566" t="s">
        <v>351</v>
      </c>
      <c r="F19" s="564" t="s">
        <v>366</v>
      </c>
      <c r="G19" s="575" t="e">
        <f>VLOOKUP(A19,'[1]Feature Summary'!$A$7:$C$4028,3,FALSE)</f>
        <v>#N/A</v>
      </c>
      <c r="H19" s="564" t="s">
        <v>367</v>
      </c>
      <c r="I19" s="437" t="s">
        <v>35</v>
      </c>
      <c r="J19" s="564" t="s">
        <v>47</v>
      </c>
      <c r="K19" s="577">
        <v>1</v>
      </c>
      <c r="L19" s="579">
        <v>1</v>
      </c>
      <c r="M19" s="581" t="s">
        <v>33</v>
      </c>
      <c r="N19" s="584">
        <v>1</v>
      </c>
      <c r="O19" s="579">
        <v>1</v>
      </c>
      <c r="P19" s="585">
        <v>1</v>
      </c>
      <c r="Q19" s="587" t="s">
        <v>38</v>
      </c>
      <c r="R19" s="579">
        <v>1</v>
      </c>
      <c r="S19" s="579">
        <v>1</v>
      </c>
      <c r="T19" s="579">
        <v>1</v>
      </c>
      <c r="U19" s="472"/>
      <c r="V19" s="472"/>
      <c r="W19" s="472"/>
      <c r="X19" s="483">
        <f t="shared" si="1"/>
        <v>1</v>
      </c>
      <c r="Y19" s="440"/>
      <c r="Z19" s="471"/>
      <c r="AA19" s="472"/>
      <c r="AB19" s="472"/>
      <c r="AC19" s="472"/>
      <c r="AD19" s="472"/>
      <c r="AE19" s="473">
        <f t="shared" si="2"/>
        <v>0</v>
      </c>
      <c r="AF19" s="323"/>
      <c r="AG19" s="589" t="e">
        <f>VLOOKUP(B19,'[1]Feature Summary'!$A$7:$U$4028,21,FALSE)</f>
        <v>#N/A</v>
      </c>
      <c r="AH19" s="324"/>
    </row>
    <row r="20" spans="1:34" ht="15.75" thickBot="1" x14ac:dyDescent="0.3">
      <c r="A20" s="330" t="s">
        <v>347</v>
      </c>
      <c r="B20" s="564" t="s">
        <v>348</v>
      </c>
      <c r="C20" s="566" t="s">
        <v>310</v>
      </c>
      <c r="D20" s="570" t="s">
        <v>349</v>
      </c>
      <c r="E20" s="566" t="s">
        <v>356</v>
      </c>
      <c r="F20" s="564" t="s">
        <v>368</v>
      </c>
      <c r="G20" s="575" t="e">
        <f>VLOOKUP(A20,'[1]Feature Summary'!$A$7:$C$4028,3,FALSE)</f>
        <v>#N/A</v>
      </c>
      <c r="H20" s="564" t="s">
        <v>369</v>
      </c>
      <c r="I20" s="437" t="s">
        <v>315</v>
      </c>
      <c r="J20" s="564" t="s">
        <v>359</v>
      </c>
      <c r="K20" s="577">
        <v>1</v>
      </c>
      <c r="L20" s="579">
        <v>2</v>
      </c>
      <c r="M20" s="581" t="s">
        <v>39</v>
      </c>
      <c r="N20" s="584">
        <v>1</v>
      </c>
      <c r="O20" s="579">
        <v>2</v>
      </c>
      <c r="P20" s="585">
        <v>1</v>
      </c>
      <c r="Q20" s="587" t="s">
        <v>48</v>
      </c>
      <c r="R20" s="579">
        <v>2</v>
      </c>
      <c r="S20" s="579">
        <v>2</v>
      </c>
      <c r="T20" s="579">
        <v>2</v>
      </c>
      <c r="U20" s="472"/>
      <c r="V20" s="472"/>
      <c r="W20" s="472"/>
      <c r="X20" s="483">
        <f t="shared" si="1"/>
        <v>1</v>
      </c>
      <c r="Y20" s="440"/>
      <c r="Z20" s="471"/>
      <c r="AA20" s="472"/>
      <c r="AB20" s="472"/>
      <c r="AC20" s="472"/>
      <c r="AD20" s="472"/>
      <c r="AE20" s="473">
        <f t="shared" si="2"/>
        <v>0</v>
      </c>
      <c r="AF20" s="323"/>
      <c r="AG20" s="589" t="e">
        <f>VLOOKUP(B20,'[1]Feature Summary'!$A$7:$U$4028,21,FALSE)</f>
        <v>#N/A</v>
      </c>
      <c r="AH20" s="324"/>
    </row>
    <row r="21" spans="1:34" ht="45.75" thickBot="1" x14ac:dyDescent="0.3">
      <c r="A21" s="330" t="s">
        <v>370</v>
      </c>
      <c r="B21" s="564" t="s">
        <v>371</v>
      </c>
      <c r="C21" s="566" t="s">
        <v>310</v>
      </c>
      <c r="D21" s="570" t="s">
        <v>372</v>
      </c>
      <c r="E21" s="566" t="s">
        <v>373</v>
      </c>
      <c r="F21" s="571" t="s">
        <v>374</v>
      </c>
      <c r="G21" s="575" t="e">
        <f>VLOOKUP(A21,'[1]Feature Summary'!$A$7:$C$4028,3,FALSE)</f>
        <v>#N/A</v>
      </c>
      <c r="H21" s="564" t="s">
        <v>375</v>
      </c>
      <c r="I21" s="437" t="s">
        <v>35</v>
      </c>
      <c r="J21" s="564" t="s">
        <v>341</v>
      </c>
      <c r="K21" s="577">
        <v>1</v>
      </c>
      <c r="L21" s="579">
        <v>3</v>
      </c>
      <c r="M21" s="581" t="s">
        <v>33</v>
      </c>
      <c r="N21" s="584">
        <v>1</v>
      </c>
      <c r="O21" s="579">
        <v>3</v>
      </c>
      <c r="P21" s="585">
        <v>1</v>
      </c>
      <c r="Q21" s="587" t="s">
        <v>38</v>
      </c>
      <c r="R21" s="579">
        <v>3</v>
      </c>
      <c r="S21" s="579">
        <v>3</v>
      </c>
      <c r="T21" s="579">
        <v>3</v>
      </c>
      <c r="U21" s="472"/>
      <c r="V21" s="472"/>
      <c r="W21" s="472"/>
      <c r="X21" s="483">
        <f t="shared" si="1"/>
        <v>1</v>
      </c>
      <c r="Y21" s="440"/>
      <c r="Z21" s="471"/>
      <c r="AA21" s="472"/>
      <c r="AB21" s="472"/>
      <c r="AC21" s="472"/>
      <c r="AD21" s="472"/>
      <c r="AE21" s="473">
        <f t="shared" si="2"/>
        <v>0</v>
      </c>
      <c r="AF21" s="323"/>
      <c r="AG21" s="589" t="e">
        <f>VLOOKUP(B21,'[1]Feature Summary'!$A$7:$U$4028,21,FALSE)</f>
        <v>#N/A</v>
      </c>
      <c r="AH21" s="324"/>
    </row>
    <row r="22" spans="1:34" ht="15.75" hidden="1" thickBot="1" x14ac:dyDescent="0.3">
      <c r="A22" s="330" t="s">
        <v>376</v>
      </c>
      <c r="B22" s="564" t="s">
        <v>377</v>
      </c>
      <c r="C22" s="566" t="s">
        <v>310</v>
      </c>
      <c r="D22" s="570" t="s">
        <v>372</v>
      </c>
      <c r="E22" s="566" t="s">
        <v>378</v>
      </c>
      <c r="F22" s="572" t="s">
        <v>379</v>
      </c>
      <c r="G22" s="575" t="e">
        <f>VLOOKUP(A22,'[1]Feature Summary'!$A$7:$C$4028,3,FALSE)</f>
        <v>#N/A</v>
      </c>
      <c r="H22" s="564" t="s">
        <v>380</v>
      </c>
      <c r="I22" s="437" t="s">
        <v>315</v>
      </c>
      <c r="J22" s="564" t="s">
        <v>381</v>
      </c>
      <c r="K22" s="577">
        <v>1</v>
      </c>
      <c r="L22" s="579">
        <v>1</v>
      </c>
      <c r="M22" s="581" t="s">
        <v>33</v>
      </c>
      <c r="N22" s="584">
        <v>1</v>
      </c>
      <c r="O22" s="579">
        <v>1</v>
      </c>
      <c r="P22" s="585">
        <v>1</v>
      </c>
      <c r="Q22" s="587" t="s">
        <v>38</v>
      </c>
      <c r="R22" s="579">
        <v>1</v>
      </c>
      <c r="S22" s="579">
        <v>1</v>
      </c>
      <c r="T22" s="579">
        <v>1</v>
      </c>
      <c r="U22" s="472"/>
      <c r="V22" s="472"/>
      <c r="W22" s="472"/>
      <c r="X22" s="483">
        <f t="shared" si="1"/>
        <v>1</v>
      </c>
      <c r="Y22" s="440"/>
      <c r="Z22" s="471"/>
      <c r="AA22" s="472"/>
      <c r="AB22" s="472"/>
      <c r="AC22" s="472"/>
      <c r="AD22" s="472"/>
      <c r="AE22" s="473">
        <f t="shared" si="2"/>
        <v>0</v>
      </c>
      <c r="AF22" s="323"/>
      <c r="AG22" s="589" t="e">
        <f>VLOOKUP(B22,'[1]Feature Summary'!$A$7:$U$4028,21,FALSE)</f>
        <v>#N/A</v>
      </c>
      <c r="AH22" s="324"/>
    </row>
    <row r="23" spans="1:34" ht="15.75" thickBot="1" x14ac:dyDescent="0.3">
      <c r="A23" s="330" t="s">
        <v>376</v>
      </c>
      <c r="B23" s="564" t="s">
        <v>377</v>
      </c>
      <c r="C23" s="566" t="s">
        <v>310</v>
      </c>
      <c r="D23" s="570" t="s">
        <v>372</v>
      </c>
      <c r="E23" s="566" t="s">
        <v>382</v>
      </c>
      <c r="F23" s="572" t="s">
        <v>383</v>
      </c>
      <c r="G23" s="575" t="e">
        <f>VLOOKUP(A23,'[1]Feature Summary'!$A$7:$C$4028,3,FALSE)</f>
        <v>#N/A</v>
      </c>
      <c r="H23" s="564" t="s">
        <v>384</v>
      </c>
      <c r="I23" s="437" t="s">
        <v>315</v>
      </c>
      <c r="J23" s="564" t="s">
        <v>385</v>
      </c>
      <c r="K23" s="577">
        <v>1</v>
      </c>
      <c r="L23" s="579">
        <v>4</v>
      </c>
      <c r="M23" s="581" t="s">
        <v>33</v>
      </c>
      <c r="N23" s="584">
        <v>1</v>
      </c>
      <c r="O23" s="579">
        <v>4</v>
      </c>
      <c r="P23" s="585">
        <v>1</v>
      </c>
      <c r="Q23" s="587" t="s">
        <v>38</v>
      </c>
      <c r="R23" s="579">
        <v>4</v>
      </c>
      <c r="S23" s="579">
        <v>4</v>
      </c>
      <c r="T23" s="579">
        <v>4</v>
      </c>
      <c r="U23" s="472"/>
      <c r="V23" s="472"/>
      <c r="W23" s="472"/>
      <c r="X23" s="483">
        <f t="shared" si="1"/>
        <v>1</v>
      </c>
      <c r="Y23" s="440"/>
      <c r="Z23" s="471"/>
      <c r="AA23" s="472"/>
      <c r="AB23" s="472"/>
      <c r="AC23" s="472"/>
      <c r="AD23" s="472"/>
      <c r="AE23" s="473">
        <f t="shared" si="2"/>
        <v>0</v>
      </c>
      <c r="AF23" s="323"/>
      <c r="AG23" s="589" t="e">
        <f>VLOOKUP(B23,'[1]Feature Summary'!$A$7:$U$4028,21,FALSE)</f>
        <v>#N/A</v>
      </c>
      <c r="AH23" s="324"/>
    </row>
    <row r="24" spans="1:34" ht="15.75" thickBot="1" x14ac:dyDescent="0.3">
      <c r="A24" s="330" t="s">
        <v>386</v>
      </c>
      <c r="B24" s="564" t="s">
        <v>387</v>
      </c>
      <c r="C24" s="566" t="s">
        <v>310</v>
      </c>
      <c r="D24" s="570" t="s">
        <v>372</v>
      </c>
      <c r="E24" s="566" t="s">
        <v>373</v>
      </c>
      <c r="F24" s="572" t="s">
        <v>388</v>
      </c>
      <c r="G24" s="575" t="e">
        <f>VLOOKUP(A24,'[1]Feature Summary'!$A$7:$C$4028,3,FALSE)</f>
        <v>#N/A</v>
      </c>
      <c r="H24" s="564" t="s">
        <v>375</v>
      </c>
      <c r="I24" s="437" t="s">
        <v>35</v>
      </c>
      <c r="J24" s="564" t="s">
        <v>341</v>
      </c>
      <c r="K24" s="577">
        <v>1</v>
      </c>
      <c r="L24" s="579">
        <v>3</v>
      </c>
      <c r="M24" s="581" t="s">
        <v>33</v>
      </c>
      <c r="N24" s="584">
        <v>1</v>
      </c>
      <c r="O24" s="579">
        <v>3</v>
      </c>
      <c r="P24" s="585">
        <v>1</v>
      </c>
      <c r="Q24" s="587" t="s">
        <v>38</v>
      </c>
      <c r="R24" s="579">
        <v>3</v>
      </c>
      <c r="S24" s="579">
        <v>3</v>
      </c>
      <c r="T24" s="579">
        <v>3</v>
      </c>
      <c r="U24" s="472"/>
      <c r="V24" s="472"/>
      <c r="W24" s="472"/>
      <c r="X24" s="483">
        <f t="shared" si="1"/>
        <v>1</v>
      </c>
      <c r="Y24" s="440"/>
      <c r="Z24" s="471"/>
      <c r="AA24" s="472"/>
      <c r="AB24" s="472"/>
      <c r="AC24" s="472"/>
      <c r="AD24" s="472"/>
      <c r="AE24" s="473">
        <f t="shared" si="2"/>
        <v>0</v>
      </c>
      <c r="AF24" s="323"/>
      <c r="AG24" s="589" t="e">
        <f>VLOOKUP(B24,'[1]Feature Summary'!$A$7:$U$4028,21,FALSE)</f>
        <v>#N/A</v>
      </c>
      <c r="AH24" s="324"/>
    </row>
    <row r="25" spans="1:34" ht="15.75" hidden="1" thickBot="1" x14ac:dyDescent="0.3">
      <c r="A25" s="330" t="s">
        <v>389</v>
      </c>
      <c r="B25" s="564" t="s">
        <v>390</v>
      </c>
      <c r="C25" s="566" t="s">
        <v>310</v>
      </c>
      <c r="D25" s="570" t="s">
        <v>372</v>
      </c>
      <c r="E25" s="566" t="s">
        <v>378</v>
      </c>
      <c r="F25" s="564" t="s">
        <v>388</v>
      </c>
      <c r="G25" s="575" t="e">
        <f>VLOOKUP(A25,'[1]Feature Summary'!$A$7:$C$4028,3,FALSE)</f>
        <v>#N/A</v>
      </c>
      <c r="H25" s="564" t="s">
        <v>380</v>
      </c>
      <c r="I25" s="437" t="s">
        <v>315</v>
      </c>
      <c r="J25" s="564" t="s">
        <v>381</v>
      </c>
      <c r="K25" s="577">
        <v>1</v>
      </c>
      <c r="L25" s="579">
        <v>1</v>
      </c>
      <c r="M25" s="581" t="s">
        <v>33</v>
      </c>
      <c r="N25" s="584">
        <v>1</v>
      </c>
      <c r="O25" s="579">
        <v>1</v>
      </c>
      <c r="P25" s="585">
        <v>1</v>
      </c>
      <c r="Q25" s="587" t="s">
        <v>38</v>
      </c>
      <c r="R25" s="579">
        <v>1</v>
      </c>
      <c r="S25" s="579">
        <v>1</v>
      </c>
      <c r="T25" s="579">
        <v>1</v>
      </c>
      <c r="U25" s="472"/>
      <c r="V25" s="472"/>
      <c r="W25" s="472"/>
      <c r="X25" s="483">
        <f t="shared" si="1"/>
        <v>1</v>
      </c>
      <c r="Y25" s="440"/>
      <c r="Z25" s="471"/>
      <c r="AA25" s="472"/>
      <c r="AB25" s="472"/>
      <c r="AC25" s="472"/>
      <c r="AD25" s="472"/>
      <c r="AE25" s="473">
        <f t="shared" si="2"/>
        <v>0</v>
      </c>
      <c r="AF25" s="323"/>
      <c r="AG25" s="589" t="e">
        <f>VLOOKUP(B25,'[1]Feature Summary'!$A$7:$U$4028,21,FALSE)</f>
        <v>#N/A</v>
      </c>
      <c r="AH25" s="324"/>
    </row>
    <row r="26" spans="1:34" ht="15.75" thickBot="1" x14ac:dyDescent="0.3">
      <c r="A26" s="330" t="s">
        <v>391</v>
      </c>
      <c r="B26" s="564" t="s">
        <v>392</v>
      </c>
      <c r="C26" s="566" t="s">
        <v>310</v>
      </c>
      <c r="D26" s="570" t="s">
        <v>372</v>
      </c>
      <c r="E26" s="566" t="s">
        <v>393</v>
      </c>
      <c r="F26" s="564" t="s">
        <v>394</v>
      </c>
      <c r="G26" s="575" t="e">
        <f>VLOOKUP(A26,'[1]Feature Summary'!$A$7:$C$4028,3,FALSE)</f>
        <v>#N/A</v>
      </c>
      <c r="H26" s="564" t="s">
        <v>395</v>
      </c>
      <c r="I26" s="437" t="s">
        <v>315</v>
      </c>
      <c r="J26" s="564" t="s">
        <v>385</v>
      </c>
      <c r="K26" s="577">
        <v>1</v>
      </c>
      <c r="L26" s="579">
        <v>5</v>
      </c>
      <c r="M26" s="581" t="s">
        <v>33</v>
      </c>
      <c r="N26" s="584">
        <v>1</v>
      </c>
      <c r="O26" s="579">
        <v>5</v>
      </c>
      <c r="P26" s="585">
        <v>1</v>
      </c>
      <c r="Q26" s="587" t="s">
        <v>38</v>
      </c>
      <c r="R26" s="579">
        <v>5</v>
      </c>
      <c r="S26" s="579">
        <v>5</v>
      </c>
      <c r="T26" s="579">
        <v>5</v>
      </c>
      <c r="U26" s="472"/>
      <c r="V26" s="472"/>
      <c r="W26" s="472"/>
      <c r="X26" s="483">
        <f t="shared" si="1"/>
        <v>1</v>
      </c>
      <c r="Y26" s="440"/>
      <c r="Z26" s="471"/>
      <c r="AA26" s="472"/>
      <c r="AB26" s="472"/>
      <c r="AC26" s="472"/>
      <c r="AD26" s="472"/>
      <c r="AE26" s="473">
        <f t="shared" si="2"/>
        <v>0</v>
      </c>
      <c r="AF26" s="323"/>
      <c r="AG26" s="589" t="e">
        <f>VLOOKUP(B26,'[1]Feature Summary'!$A$7:$U$4028,21,FALSE)</f>
        <v>#N/A</v>
      </c>
      <c r="AH26" s="324"/>
    </row>
    <row r="27" spans="1:34" ht="15.75" hidden="1" thickBot="1" x14ac:dyDescent="0.3">
      <c r="A27" s="330" t="s">
        <v>396</v>
      </c>
      <c r="B27" s="564" t="s">
        <v>397</v>
      </c>
      <c r="C27" s="566" t="s">
        <v>310</v>
      </c>
      <c r="D27" s="570" t="s">
        <v>372</v>
      </c>
      <c r="E27" s="566" t="s">
        <v>398</v>
      </c>
      <c r="F27" s="564" t="s">
        <v>399</v>
      </c>
      <c r="G27" s="575" t="e">
        <f>VLOOKUP(A27,'[1]Feature Summary'!$A$7:$C$4028,3,FALSE)</f>
        <v>#N/A</v>
      </c>
      <c r="H27" s="564" t="s">
        <v>400</v>
      </c>
      <c r="I27" s="437" t="s">
        <v>315</v>
      </c>
      <c r="J27" s="564" t="s">
        <v>385</v>
      </c>
      <c r="K27" s="577">
        <v>1</v>
      </c>
      <c r="L27" s="579">
        <v>1</v>
      </c>
      <c r="M27" s="581" t="s">
        <v>33</v>
      </c>
      <c r="N27" s="584">
        <v>1</v>
      </c>
      <c r="O27" s="579">
        <v>1</v>
      </c>
      <c r="P27" s="585">
        <v>1</v>
      </c>
      <c r="Q27" s="587" t="s">
        <v>38</v>
      </c>
      <c r="R27" s="579">
        <v>1</v>
      </c>
      <c r="S27" s="579">
        <v>1</v>
      </c>
      <c r="T27" s="579">
        <v>1</v>
      </c>
      <c r="U27" s="472"/>
      <c r="V27" s="472"/>
      <c r="W27" s="472"/>
      <c r="X27" s="483">
        <f t="shared" si="1"/>
        <v>1</v>
      </c>
      <c r="Y27" s="440"/>
      <c r="Z27" s="471"/>
      <c r="AA27" s="472"/>
      <c r="AB27" s="472"/>
      <c r="AC27" s="472"/>
      <c r="AD27" s="472"/>
      <c r="AE27" s="473">
        <f t="shared" si="2"/>
        <v>0</v>
      </c>
      <c r="AF27" s="323"/>
      <c r="AG27" s="589" t="e">
        <f>VLOOKUP(B27,'[1]Feature Summary'!$A$7:$U$4028,21,FALSE)</f>
        <v>#N/A</v>
      </c>
      <c r="AH27" s="324"/>
    </row>
    <row r="28" spans="1:34" ht="15.75" hidden="1" thickBot="1" x14ac:dyDescent="0.3">
      <c r="A28" s="330" t="s">
        <v>401</v>
      </c>
      <c r="B28" s="564" t="s">
        <v>402</v>
      </c>
      <c r="C28" s="566" t="s">
        <v>310</v>
      </c>
      <c r="D28" s="570" t="s">
        <v>372</v>
      </c>
      <c r="E28" s="566" t="s">
        <v>378</v>
      </c>
      <c r="F28" s="564" t="s">
        <v>403</v>
      </c>
      <c r="G28" s="575" t="e">
        <f>VLOOKUP(A28,'[1]Feature Summary'!$A$7:$C$4028,3,FALSE)</f>
        <v>#N/A</v>
      </c>
      <c r="H28" s="564" t="s">
        <v>380</v>
      </c>
      <c r="I28" s="437" t="s">
        <v>315</v>
      </c>
      <c r="J28" s="564" t="s">
        <v>381</v>
      </c>
      <c r="K28" s="577">
        <v>1</v>
      </c>
      <c r="L28" s="579">
        <v>1</v>
      </c>
      <c r="M28" s="581" t="s">
        <v>33</v>
      </c>
      <c r="N28" s="584">
        <v>1</v>
      </c>
      <c r="O28" s="579">
        <v>1</v>
      </c>
      <c r="P28" s="585">
        <v>1</v>
      </c>
      <c r="Q28" s="587" t="s">
        <v>38</v>
      </c>
      <c r="R28" s="579">
        <v>1</v>
      </c>
      <c r="S28" s="579">
        <v>1</v>
      </c>
      <c r="T28" s="579">
        <v>1</v>
      </c>
      <c r="U28" s="472"/>
      <c r="V28" s="472"/>
      <c r="W28" s="472"/>
      <c r="X28" s="483">
        <f t="shared" si="1"/>
        <v>1</v>
      </c>
      <c r="Y28" s="440"/>
      <c r="Z28" s="471"/>
      <c r="AA28" s="472"/>
      <c r="AB28" s="472"/>
      <c r="AC28" s="472"/>
      <c r="AD28" s="472"/>
      <c r="AE28" s="473">
        <f t="shared" si="2"/>
        <v>0</v>
      </c>
      <c r="AF28" s="323"/>
      <c r="AG28" s="589" t="e">
        <f>VLOOKUP(B28,'[1]Feature Summary'!$A$7:$U$4028,21,FALSE)</f>
        <v>#N/A</v>
      </c>
      <c r="AH28" s="324"/>
    </row>
    <row r="29" spans="1:34" ht="60.75" hidden="1" thickBot="1" x14ac:dyDescent="0.3">
      <c r="A29" s="330" t="s">
        <v>404</v>
      </c>
      <c r="B29" s="564" t="s">
        <v>405</v>
      </c>
      <c r="C29" s="566" t="s">
        <v>310</v>
      </c>
      <c r="D29" s="570" t="s">
        <v>372</v>
      </c>
      <c r="E29" s="566" t="s">
        <v>378</v>
      </c>
      <c r="F29" s="571" t="s">
        <v>406</v>
      </c>
      <c r="G29" s="575" t="e">
        <f>VLOOKUP(A29,'[1]Feature Summary'!$A$7:$C$4028,3,FALSE)</f>
        <v>#N/A</v>
      </c>
      <c r="H29" s="564" t="s">
        <v>380</v>
      </c>
      <c r="I29" s="437" t="s">
        <v>315</v>
      </c>
      <c r="J29" s="564" t="s">
        <v>381</v>
      </c>
      <c r="K29" s="577">
        <v>1</v>
      </c>
      <c r="L29" s="579">
        <v>1</v>
      </c>
      <c r="M29" s="581" t="s">
        <v>33</v>
      </c>
      <c r="N29" s="584">
        <v>1</v>
      </c>
      <c r="O29" s="579">
        <v>1</v>
      </c>
      <c r="P29" s="585">
        <v>1</v>
      </c>
      <c r="Q29" s="587" t="s">
        <v>38</v>
      </c>
      <c r="R29" s="579">
        <v>1</v>
      </c>
      <c r="S29" s="579">
        <v>1</v>
      </c>
      <c r="T29" s="579">
        <v>1</v>
      </c>
      <c r="U29" s="472"/>
      <c r="V29" s="472"/>
      <c r="W29" s="472"/>
      <c r="X29" s="483">
        <f t="shared" si="1"/>
        <v>1</v>
      </c>
      <c r="Y29" s="440"/>
      <c r="Z29" s="471"/>
      <c r="AA29" s="472"/>
      <c r="AB29" s="472"/>
      <c r="AC29" s="472"/>
      <c r="AD29" s="472"/>
      <c r="AE29" s="473">
        <f t="shared" si="2"/>
        <v>0</v>
      </c>
      <c r="AF29" s="323"/>
      <c r="AG29" s="589" t="e">
        <f>VLOOKUP(B29,'[1]Feature Summary'!$A$7:$U$4028,21,FALSE)</f>
        <v>#N/A</v>
      </c>
      <c r="AH29" s="324"/>
    </row>
    <row r="30" spans="1:34" ht="30.75" hidden="1" thickBot="1" x14ac:dyDescent="0.3">
      <c r="A30" s="330" t="s">
        <v>404</v>
      </c>
      <c r="B30" s="564" t="s">
        <v>405</v>
      </c>
      <c r="C30" s="566" t="s">
        <v>310</v>
      </c>
      <c r="D30" s="570" t="s">
        <v>372</v>
      </c>
      <c r="E30" s="566" t="s">
        <v>407</v>
      </c>
      <c r="F30" s="571" t="s">
        <v>408</v>
      </c>
      <c r="G30" s="575" t="e">
        <f>VLOOKUP(A30,'[2]Feature Summary'!$A$7:$C$3998,3,FALSE)</f>
        <v>#N/A</v>
      </c>
      <c r="H30" s="564" t="s">
        <v>409</v>
      </c>
      <c r="I30" s="437" t="s">
        <v>35</v>
      </c>
      <c r="J30" s="564" t="s">
        <v>410</v>
      </c>
      <c r="K30" s="577">
        <v>1</v>
      </c>
      <c r="L30" s="579">
        <v>1</v>
      </c>
      <c r="M30" s="581" t="s">
        <v>39</v>
      </c>
      <c r="N30" s="584">
        <v>1</v>
      </c>
      <c r="O30" s="579">
        <v>1</v>
      </c>
      <c r="P30" s="585">
        <v>1</v>
      </c>
      <c r="Q30" s="587" t="s">
        <v>48</v>
      </c>
      <c r="R30" s="579">
        <v>1</v>
      </c>
      <c r="S30" s="579">
        <v>1</v>
      </c>
      <c r="T30" s="579">
        <v>1</v>
      </c>
      <c r="U30" s="472"/>
      <c r="V30" s="472"/>
      <c r="W30" s="472"/>
      <c r="X30" s="483">
        <f t="shared" si="1"/>
        <v>1</v>
      </c>
      <c r="Y30" s="440"/>
      <c r="Z30" s="471"/>
      <c r="AA30" s="472"/>
      <c r="AB30" s="472"/>
      <c r="AC30" s="472"/>
      <c r="AD30" s="472"/>
      <c r="AE30" s="473">
        <f t="shared" si="2"/>
        <v>0</v>
      </c>
      <c r="AF30" s="323"/>
      <c r="AG30" s="589" t="e">
        <f>VLOOKUP(B30,'[2]Feature Summary'!$A$7:$U$3998,21,FALSE)</f>
        <v>#N/A</v>
      </c>
      <c r="AH30" s="324"/>
    </row>
    <row r="31" spans="1:34" ht="15.75" thickBot="1" x14ac:dyDescent="0.3">
      <c r="A31" s="330" t="s">
        <v>411</v>
      </c>
      <c r="B31" s="564" t="s">
        <v>412</v>
      </c>
      <c r="C31" s="566" t="s">
        <v>310</v>
      </c>
      <c r="D31" s="570" t="s">
        <v>372</v>
      </c>
      <c r="E31" s="566" t="s">
        <v>413</v>
      </c>
      <c r="F31" s="564" t="s">
        <v>412</v>
      </c>
      <c r="G31" s="575" t="e">
        <f>VLOOKUP(A31,'[1]Feature Summary'!$A$7:$C$4028,3,FALSE)</f>
        <v>#N/A</v>
      </c>
      <c r="H31" s="564" t="s">
        <v>414</v>
      </c>
      <c r="I31" s="437" t="s">
        <v>315</v>
      </c>
      <c r="J31" s="564" t="s">
        <v>359</v>
      </c>
      <c r="K31" s="577">
        <v>1</v>
      </c>
      <c r="L31" s="579">
        <v>2</v>
      </c>
      <c r="M31" s="581" t="s">
        <v>39</v>
      </c>
      <c r="N31" s="584">
        <v>1</v>
      </c>
      <c r="O31" s="579">
        <v>2</v>
      </c>
      <c r="P31" s="585">
        <v>1</v>
      </c>
      <c r="Q31" s="587" t="s">
        <v>38</v>
      </c>
      <c r="R31" s="579">
        <v>2</v>
      </c>
      <c r="S31" s="579">
        <v>2</v>
      </c>
      <c r="T31" s="579">
        <v>2</v>
      </c>
      <c r="U31" s="472"/>
      <c r="V31" s="472"/>
      <c r="W31" s="472"/>
      <c r="X31" s="483">
        <f t="shared" si="1"/>
        <v>1</v>
      </c>
      <c r="Y31" s="440"/>
      <c r="Z31" s="471"/>
      <c r="AA31" s="472"/>
      <c r="AB31" s="472"/>
      <c r="AC31" s="472"/>
      <c r="AD31" s="472"/>
      <c r="AE31" s="473">
        <f t="shared" si="2"/>
        <v>0</v>
      </c>
      <c r="AF31" s="323"/>
      <c r="AG31" s="589" t="e">
        <f>VLOOKUP(B31,'[1]Feature Summary'!$A$7:$U$4028,21,FALSE)</f>
        <v>#N/A</v>
      </c>
      <c r="AH31" s="324"/>
    </row>
    <row r="32" spans="1:34" ht="15.75" hidden="1" thickBot="1" x14ac:dyDescent="0.3">
      <c r="A32" s="330" t="s">
        <v>415</v>
      </c>
      <c r="B32" s="564" t="s">
        <v>416</v>
      </c>
      <c r="C32" s="566" t="s">
        <v>310</v>
      </c>
      <c r="D32" s="570" t="s">
        <v>417</v>
      </c>
      <c r="E32" s="566" t="s">
        <v>312</v>
      </c>
      <c r="F32" s="564" t="s">
        <v>416</v>
      </c>
      <c r="G32" s="575" t="e">
        <f>VLOOKUP(A32,'[1]Feature Summary'!$A$7:$C$4028,3,FALSE)</f>
        <v>#N/A</v>
      </c>
      <c r="H32" s="564" t="s">
        <v>312</v>
      </c>
      <c r="I32" s="437" t="s">
        <v>315</v>
      </c>
      <c r="J32" s="564" t="s">
        <v>312</v>
      </c>
      <c r="K32" s="577">
        <v>1</v>
      </c>
      <c r="L32" s="579">
        <v>1</v>
      </c>
      <c r="M32" s="581" t="s">
        <v>39</v>
      </c>
      <c r="N32" s="584">
        <v>1</v>
      </c>
      <c r="O32" s="579">
        <v>1</v>
      </c>
      <c r="P32" s="585">
        <v>1</v>
      </c>
      <c r="Q32" s="587" t="s">
        <v>48</v>
      </c>
      <c r="R32" s="579">
        <v>1</v>
      </c>
      <c r="S32" s="579">
        <v>1</v>
      </c>
      <c r="T32" s="579">
        <v>1</v>
      </c>
      <c r="U32" s="472"/>
      <c r="V32" s="472"/>
      <c r="W32" s="472"/>
      <c r="X32" s="483">
        <f t="shared" si="1"/>
        <v>1</v>
      </c>
      <c r="Y32" s="440"/>
      <c r="Z32" s="471"/>
      <c r="AA32" s="472"/>
      <c r="AB32" s="472"/>
      <c r="AC32" s="472"/>
      <c r="AD32" s="472"/>
      <c r="AE32" s="473">
        <f t="shared" si="2"/>
        <v>0</v>
      </c>
      <c r="AF32" s="323"/>
      <c r="AG32" s="589" t="e">
        <f>VLOOKUP(B32,'[1]Feature Summary'!$A$7:$U$4028,21,FALSE)</f>
        <v>#N/A</v>
      </c>
      <c r="AH32" s="324"/>
    </row>
    <row r="33" spans="1:34" ht="15.75" hidden="1" thickBot="1" x14ac:dyDescent="0.3">
      <c r="A33" s="330" t="s">
        <v>418</v>
      </c>
      <c r="B33" s="564" t="s">
        <v>419</v>
      </c>
      <c r="C33" s="566" t="s">
        <v>310</v>
      </c>
      <c r="D33" s="570" t="s">
        <v>420</v>
      </c>
      <c r="E33" s="566" t="s">
        <v>421</v>
      </c>
      <c r="F33" s="564" t="s">
        <v>422</v>
      </c>
      <c r="G33" s="575" t="e">
        <f>VLOOKUP(A33,'[1]Feature Summary'!$A$7:$C$4028,3,FALSE)</f>
        <v>#N/A</v>
      </c>
      <c r="H33" s="564" t="s">
        <v>423</v>
      </c>
      <c r="I33" s="437" t="s">
        <v>35</v>
      </c>
      <c r="J33" s="564"/>
      <c r="K33" s="577">
        <v>1</v>
      </c>
      <c r="L33" s="579">
        <v>1</v>
      </c>
      <c r="M33" s="581" t="s">
        <v>39</v>
      </c>
      <c r="N33" s="584">
        <v>1</v>
      </c>
      <c r="O33" s="579">
        <v>1</v>
      </c>
      <c r="P33" s="585">
        <v>1</v>
      </c>
      <c r="Q33" s="587" t="s">
        <v>48</v>
      </c>
      <c r="R33" s="579">
        <v>1</v>
      </c>
      <c r="S33" s="579">
        <v>1</v>
      </c>
      <c r="T33" s="579">
        <v>1</v>
      </c>
      <c r="U33" s="472"/>
      <c r="V33" s="472"/>
      <c r="W33" s="472"/>
      <c r="X33" s="483">
        <f t="shared" si="1"/>
        <v>1</v>
      </c>
      <c r="Y33" s="440"/>
      <c r="Z33" s="471"/>
      <c r="AA33" s="472"/>
      <c r="AB33" s="472"/>
      <c r="AC33" s="472"/>
      <c r="AD33" s="472"/>
      <c r="AE33" s="473">
        <f t="shared" si="2"/>
        <v>0</v>
      </c>
      <c r="AF33" s="323"/>
      <c r="AG33" s="589" t="e">
        <f>VLOOKUP(B33,'[1]Feature Summary'!$A$7:$U$4028,21,FALSE)</f>
        <v>#N/A</v>
      </c>
      <c r="AH33" s="324"/>
    </row>
    <row r="34" spans="1:34" ht="30.75" thickBot="1" x14ac:dyDescent="0.3">
      <c r="A34" s="330" t="s">
        <v>424</v>
      </c>
      <c r="B34" s="564" t="s">
        <v>425</v>
      </c>
      <c r="C34" s="566" t="s">
        <v>310</v>
      </c>
      <c r="D34" s="570" t="s">
        <v>420</v>
      </c>
      <c r="E34" s="566" t="s">
        <v>426</v>
      </c>
      <c r="F34" s="571" t="s">
        <v>427</v>
      </c>
      <c r="G34" s="575" t="e">
        <f>VLOOKUP(A34,'[1]Feature Summary'!$A$7:$C$4028,3,FALSE)</f>
        <v>#N/A</v>
      </c>
      <c r="H34" s="564" t="s">
        <v>428</v>
      </c>
      <c r="I34" s="437" t="s">
        <v>35</v>
      </c>
      <c r="J34" s="564" t="s">
        <v>429</v>
      </c>
      <c r="K34" s="577">
        <v>1</v>
      </c>
      <c r="L34" s="579">
        <v>448</v>
      </c>
      <c r="M34" s="581" t="s">
        <v>39</v>
      </c>
      <c r="N34" s="584">
        <v>1</v>
      </c>
      <c r="O34" s="579">
        <v>448</v>
      </c>
      <c r="P34" s="585">
        <v>1</v>
      </c>
      <c r="Q34" s="587" t="s">
        <v>38</v>
      </c>
      <c r="R34" s="579">
        <v>448</v>
      </c>
      <c r="S34" s="579">
        <v>448</v>
      </c>
      <c r="T34" s="579">
        <v>448</v>
      </c>
      <c r="U34" s="472"/>
      <c r="V34" s="472"/>
      <c r="W34" s="472"/>
      <c r="X34" s="483">
        <f t="shared" si="1"/>
        <v>1</v>
      </c>
      <c r="Y34" s="440"/>
      <c r="Z34" s="471"/>
      <c r="AA34" s="472"/>
      <c r="AB34" s="472"/>
      <c r="AC34" s="472"/>
      <c r="AD34" s="472"/>
      <c r="AE34" s="473">
        <f t="shared" si="2"/>
        <v>0</v>
      </c>
      <c r="AF34" s="323"/>
      <c r="AG34" s="589" t="e">
        <f>VLOOKUP(B34,'[1]Feature Summary'!$A$7:$U$4028,21,FALSE)</f>
        <v>#N/A</v>
      </c>
      <c r="AH34" s="324"/>
    </row>
    <row r="35" spans="1:34" ht="15.75" thickBot="1" x14ac:dyDescent="0.3">
      <c r="A35" s="330" t="s">
        <v>430</v>
      </c>
      <c r="B35" s="564" t="s">
        <v>431</v>
      </c>
      <c r="C35" s="566" t="s">
        <v>310</v>
      </c>
      <c r="D35" s="570" t="s">
        <v>420</v>
      </c>
      <c r="E35" s="566" t="s">
        <v>426</v>
      </c>
      <c r="F35" s="564" t="s">
        <v>432</v>
      </c>
      <c r="G35" s="575" t="e">
        <f>VLOOKUP(A35,'[1]Feature Summary'!$A$7:$C$4028,3,FALSE)</f>
        <v>#N/A</v>
      </c>
      <c r="H35" s="564" t="s">
        <v>428</v>
      </c>
      <c r="I35" s="437" t="s">
        <v>35</v>
      </c>
      <c r="J35" s="564" t="s">
        <v>429</v>
      </c>
      <c r="K35" s="577">
        <v>1</v>
      </c>
      <c r="L35" s="579">
        <v>2</v>
      </c>
      <c r="M35" s="581" t="s">
        <v>39</v>
      </c>
      <c r="N35" s="584">
        <v>1</v>
      </c>
      <c r="O35" s="579">
        <v>2</v>
      </c>
      <c r="P35" s="585">
        <v>1</v>
      </c>
      <c r="Q35" s="587" t="s">
        <v>38</v>
      </c>
      <c r="R35" s="579">
        <v>2</v>
      </c>
      <c r="S35" s="579">
        <v>2</v>
      </c>
      <c r="T35" s="579">
        <v>2</v>
      </c>
      <c r="U35" s="472"/>
      <c r="V35" s="472"/>
      <c r="W35" s="472"/>
      <c r="X35" s="483">
        <f t="shared" si="1"/>
        <v>1</v>
      </c>
      <c r="Y35" s="440"/>
      <c r="Z35" s="471"/>
      <c r="AA35" s="472"/>
      <c r="AB35" s="472"/>
      <c r="AC35" s="472"/>
      <c r="AD35" s="472"/>
      <c r="AE35" s="473">
        <f t="shared" si="2"/>
        <v>0</v>
      </c>
      <c r="AF35" s="323"/>
      <c r="AG35" s="589" t="e">
        <f>VLOOKUP(B35,'[1]Feature Summary'!$A$7:$U$4028,21,FALSE)</f>
        <v>#N/A</v>
      </c>
      <c r="AH35" s="324"/>
    </row>
    <row r="36" spans="1:34" ht="15.75" thickBot="1" x14ac:dyDescent="0.3">
      <c r="A36" s="330" t="s">
        <v>433</v>
      </c>
      <c r="B36" s="564" t="s">
        <v>434</v>
      </c>
      <c r="C36" s="566" t="s">
        <v>310</v>
      </c>
      <c r="D36" s="570" t="s">
        <v>435</v>
      </c>
      <c r="E36" s="566" t="s">
        <v>436</v>
      </c>
      <c r="F36" s="564" t="s">
        <v>437</v>
      </c>
      <c r="G36" s="575" t="e">
        <f>VLOOKUP(A36,'[1]Feature Summary'!$A$7:$C$4028,3,FALSE)</f>
        <v>#N/A</v>
      </c>
      <c r="H36" s="564" t="s">
        <v>438</v>
      </c>
      <c r="I36" s="437" t="s">
        <v>315</v>
      </c>
      <c r="J36" s="564" t="s">
        <v>47</v>
      </c>
      <c r="K36" s="577">
        <v>1</v>
      </c>
      <c r="L36" s="579">
        <v>3</v>
      </c>
      <c r="M36" s="581" t="s">
        <v>39</v>
      </c>
      <c r="N36" s="584">
        <v>1</v>
      </c>
      <c r="O36" s="579">
        <v>3</v>
      </c>
      <c r="P36" s="585">
        <v>1</v>
      </c>
      <c r="Q36" s="587" t="s">
        <v>38</v>
      </c>
      <c r="R36" s="579">
        <v>3</v>
      </c>
      <c r="S36" s="579">
        <v>3</v>
      </c>
      <c r="T36" s="579">
        <v>3</v>
      </c>
      <c r="U36" s="472"/>
      <c r="V36" s="472"/>
      <c r="W36" s="472"/>
      <c r="X36" s="483">
        <f t="shared" si="1"/>
        <v>1</v>
      </c>
      <c r="Y36" s="440"/>
      <c r="Z36" s="471"/>
      <c r="AA36" s="472"/>
      <c r="AB36" s="472"/>
      <c r="AC36" s="472"/>
      <c r="AD36" s="472"/>
      <c r="AE36" s="473">
        <f t="shared" si="2"/>
        <v>0</v>
      </c>
      <c r="AF36" s="323"/>
      <c r="AG36" s="589" t="e">
        <f>VLOOKUP(B36,'[1]Feature Summary'!$A$7:$U$4028,21,FALSE)</f>
        <v>#N/A</v>
      </c>
      <c r="AH36" s="324"/>
    </row>
    <row r="37" spans="1:34" ht="15.75" thickBot="1" x14ac:dyDescent="0.3">
      <c r="A37" s="330" t="s">
        <v>439</v>
      </c>
      <c r="B37" s="564" t="s">
        <v>440</v>
      </c>
      <c r="C37" s="566" t="s">
        <v>310</v>
      </c>
      <c r="D37" s="570" t="s">
        <v>435</v>
      </c>
      <c r="E37" s="566" t="s">
        <v>441</v>
      </c>
      <c r="F37" s="564" t="s">
        <v>442</v>
      </c>
      <c r="G37" s="575" t="e">
        <f>VLOOKUP(A37,'[1]Feature Summary'!$A$7:$C$4028,3,FALSE)</f>
        <v>#N/A</v>
      </c>
      <c r="H37" s="564" t="s">
        <v>443</v>
      </c>
      <c r="I37" s="437" t="s">
        <v>315</v>
      </c>
      <c r="J37" s="564" t="s">
        <v>359</v>
      </c>
      <c r="K37" s="577">
        <v>1</v>
      </c>
      <c r="L37" s="579">
        <v>2</v>
      </c>
      <c r="M37" s="581" t="s">
        <v>39</v>
      </c>
      <c r="N37" s="584">
        <v>1</v>
      </c>
      <c r="O37" s="579">
        <v>2</v>
      </c>
      <c r="P37" s="585">
        <v>1</v>
      </c>
      <c r="Q37" s="587" t="s">
        <v>38</v>
      </c>
      <c r="R37" s="579">
        <v>2</v>
      </c>
      <c r="S37" s="579">
        <v>2</v>
      </c>
      <c r="T37" s="579">
        <v>2</v>
      </c>
      <c r="U37" s="472"/>
      <c r="V37" s="472"/>
      <c r="W37" s="472"/>
      <c r="X37" s="483">
        <f t="shared" si="1"/>
        <v>1</v>
      </c>
      <c r="Y37" s="440"/>
      <c r="Z37" s="471"/>
      <c r="AA37" s="472"/>
      <c r="AB37" s="472"/>
      <c r="AC37" s="472"/>
      <c r="AD37" s="472"/>
      <c r="AE37" s="473">
        <f t="shared" si="2"/>
        <v>0</v>
      </c>
      <c r="AF37" s="323"/>
      <c r="AG37" s="589" t="e">
        <f>VLOOKUP(B37,'[1]Feature Summary'!$A$7:$U$4028,21,FALSE)</f>
        <v>#N/A</v>
      </c>
      <c r="AH37" s="324"/>
    </row>
    <row r="38" spans="1:34" ht="15.75" thickBot="1" x14ac:dyDescent="0.3">
      <c r="A38" s="330" t="s">
        <v>444</v>
      </c>
      <c r="B38" s="564" t="s">
        <v>445</v>
      </c>
      <c r="C38" s="566" t="s">
        <v>310</v>
      </c>
      <c r="D38" s="570" t="s">
        <v>435</v>
      </c>
      <c r="E38" s="566" t="s">
        <v>446</v>
      </c>
      <c r="F38" s="564" t="s">
        <v>447</v>
      </c>
      <c r="G38" s="575" t="e">
        <f>VLOOKUP(A38,'[1]Feature Summary'!$A$7:$C$4028,3,FALSE)</f>
        <v>#N/A</v>
      </c>
      <c r="H38" s="564" t="s">
        <v>448</v>
      </c>
      <c r="I38" s="437" t="s">
        <v>35</v>
      </c>
      <c r="J38" s="564" t="s">
        <v>47</v>
      </c>
      <c r="K38" s="577">
        <v>1</v>
      </c>
      <c r="L38" s="579">
        <v>3</v>
      </c>
      <c r="M38" s="581" t="s">
        <v>39</v>
      </c>
      <c r="N38" s="584">
        <v>1</v>
      </c>
      <c r="O38" s="579">
        <v>3</v>
      </c>
      <c r="P38" s="585">
        <v>1</v>
      </c>
      <c r="Q38" s="587" t="s">
        <v>38</v>
      </c>
      <c r="R38" s="579">
        <v>3</v>
      </c>
      <c r="S38" s="579">
        <v>3</v>
      </c>
      <c r="T38" s="579">
        <v>3</v>
      </c>
      <c r="U38" s="472"/>
      <c r="V38" s="472"/>
      <c r="W38" s="472"/>
      <c r="X38" s="483">
        <f t="shared" si="1"/>
        <v>1</v>
      </c>
      <c r="Y38" s="440"/>
      <c r="Z38" s="471"/>
      <c r="AA38" s="472"/>
      <c r="AB38" s="472"/>
      <c r="AC38" s="472"/>
      <c r="AD38" s="472"/>
      <c r="AE38" s="473">
        <f t="shared" si="2"/>
        <v>0</v>
      </c>
      <c r="AF38" s="323"/>
      <c r="AG38" s="589" t="e">
        <f>VLOOKUP(B38,'[1]Feature Summary'!$A$7:$U$4028,21,FALSE)</f>
        <v>#N/A</v>
      </c>
      <c r="AH38" s="324"/>
    </row>
    <row r="39" spans="1:34" ht="15.75" thickBot="1" x14ac:dyDescent="0.3">
      <c r="A39" s="330" t="s">
        <v>449</v>
      </c>
      <c r="B39" s="564" t="s">
        <v>450</v>
      </c>
      <c r="C39" s="566" t="s">
        <v>310</v>
      </c>
      <c r="D39" s="570" t="s">
        <v>435</v>
      </c>
      <c r="E39" s="566" t="s">
        <v>451</v>
      </c>
      <c r="F39" s="564" t="s">
        <v>452</v>
      </c>
      <c r="G39" s="575" t="e">
        <f>VLOOKUP(A39,'[1]Feature Summary'!$A$7:$C$4028,3,FALSE)</f>
        <v>#N/A</v>
      </c>
      <c r="H39" s="564" t="s">
        <v>453</v>
      </c>
      <c r="I39" s="437" t="s">
        <v>315</v>
      </c>
      <c r="J39" s="564" t="s">
        <v>454</v>
      </c>
      <c r="K39" s="577">
        <v>1</v>
      </c>
      <c r="L39" s="579">
        <v>28</v>
      </c>
      <c r="M39" s="581" t="s">
        <v>39</v>
      </c>
      <c r="N39" s="584">
        <v>1</v>
      </c>
      <c r="O39" s="579">
        <v>28</v>
      </c>
      <c r="P39" s="585">
        <v>1</v>
      </c>
      <c r="Q39" s="587" t="s">
        <v>38</v>
      </c>
      <c r="R39" s="579">
        <v>28</v>
      </c>
      <c r="S39" s="579">
        <v>28</v>
      </c>
      <c r="T39" s="579">
        <v>28</v>
      </c>
      <c r="U39" s="472"/>
      <c r="V39" s="472"/>
      <c r="W39" s="472"/>
      <c r="X39" s="483">
        <f t="shared" si="1"/>
        <v>1</v>
      </c>
      <c r="Y39" s="440"/>
      <c r="Z39" s="471"/>
      <c r="AA39" s="472"/>
      <c r="AB39" s="472"/>
      <c r="AC39" s="472"/>
      <c r="AD39" s="472"/>
      <c r="AE39" s="473">
        <f t="shared" si="2"/>
        <v>0</v>
      </c>
      <c r="AF39" s="323"/>
      <c r="AG39" s="589" t="e">
        <f>VLOOKUP(B39,'[1]Feature Summary'!$A$7:$U$4028,21,FALSE)</f>
        <v>#N/A</v>
      </c>
      <c r="AH39" s="324"/>
    </row>
    <row r="40" spans="1:34" ht="15.75" thickBot="1" x14ac:dyDescent="0.3">
      <c r="A40" s="330" t="s">
        <v>455</v>
      </c>
      <c r="B40" s="564" t="s">
        <v>456</v>
      </c>
      <c r="C40" s="566" t="s">
        <v>310</v>
      </c>
      <c r="D40" s="570" t="s">
        <v>435</v>
      </c>
      <c r="E40" s="566" t="s">
        <v>457</v>
      </c>
      <c r="F40" s="564" t="s">
        <v>458</v>
      </c>
      <c r="G40" s="575" t="e">
        <f>VLOOKUP(A40,'[1]Feature Summary'!$A$7:$C$4028,3,FALSE)</f>
        <v>#N/A</v>
      </c>
      <c r="H40" s="564" t="s">
        <v>459</v>
      </c>
      <c r="I40" s="437" t="s">
        <v>35</v>
      </c>
      <c r="J40" s="564" t="s">
        <v>359</v>
      </c>
      <c r="K40" s="577">
        <v>1</v>
      </c>
      <c r="L40" s="579">
        <v>8</v>
      </c>
      <c r="M40" s="581" t="s">
        <v>39</v>
      </c>
      <c r="N40" s="584">
        <v>1</v>
      </c>
      <c r="O40" s="579">
        <v>8</v>
      </c>
      <c r="P40" s="585">
        <v>1</v>
      </c>
      <c r="Q40" s="587" t="s">
        <v>38</v>
      </c>
      <c r="R40" s="579">
        <v>8</v>
      </c>
      <c r="S40" s="579">
        <v>8</v>
      </c>
      <c r="T40" s="579">
        <v>8</v>
      </c>
      <c r="U40" s="472"/>
      <c r="V40" s="472"/>
      <c r="W40" s="472"/>
      <c r="X40" s="483">
        <f t="shared" si="1"/>
        <v>1</v>
      </c>
      <c r="Y40" s="440"/>
      <c r="Z40" s="471"/>
      <c r="AA40" s="472"/>
      <c r="AB40" s="472"/>
      <c r="AC40" s="472"/>
      <c r="AD40" s="472"/>
      <c r="AE40" s="473">
        <f t="shared" si="2"/>
        <v>0</v>
      </c>
      <c r="AF40" s="323"/>
      <c r="AG40" s="589" t="e">
        <f>VLOOKUP(B40,'[1]Feature Summary'!$A$7:$U$4028,21,FALSE)</f>
        <v>#N/A</v>
      </c>
      <c r="AH40" s="324"/>
    </row>
    <row r="41" spans="1:34" ht="45.75" thickBot="1" x14ac:dyDescent="0.3">
      <c r="A41" s="330" t="s">
        <v>460</v>
      </c>
      <c r="B41" s="564" t="s">
        <v>461</v>
      </c>
      <c r="C41" s="566" t="s">
        <v>310</v>
      </c>
      <c r="D41" s="570" t="s">
        <v>435</v>
      </c>
      <c r="E41" s="566" t="s">
        <v>457</v>
      </c>
      <c r="F41" s="571" t="s">
        <v>462</v>
      </c>
      <c r="G41" s="575" t="e">
        <f>VLOOKUP(A41,'[1]Feature Summary'!$A$7:$C$4028,3,FALSE)</f>
        <v>#N/A</v>
      </c>
      <c r="H41" s="564" t="s">
        <v>459</v>
      </c>
      <c r="I41" s="437" t="s">
        <v>35</v>
      </c>
      <c r="J41" s="564" t="s">
        <v>359</v>
      </c>
      <c r="K41" s="577">
        <v>1</v>
      </c>
      <c r="L41" s="579">
        <v>8</v>
      </c>
      <c r="M41" s="581" t="s">
        <v>39</v>
      </c>
      <c r="N41" s="584">
        <v>1</v>
      </c>
      <c r="O41" s="579">
        <v>8</v>
      </c>
      <c r="P41" s="585">
        <v>1</v>
      </c>
      <c r="Q41" s="587" t="s">
        <v>38</v>
      </c>
      <c r="R41" s="579">
        <v>8</v>
      </c>
      <c r="S41" s="579">
        <v>8</v>
      </c>
      <c r="T41" s="579">
        <v>8</v>
      </c>
      <c r="U41" s="472"/>
      <c r="V41" s="472"/>
      <c r="W41" s="472"/>
      <c r="X41" s="483">
        <f t="shared" si="1"/>
        <v>1</v>
      </c>
      <c r="Y41" s="440"/>
      <c r="Z41" s="471"/>
      <c r="AA41" s="472"/>
      <c r="AB41" s="472"/>
      <c r="AC41" s="472"/>
      <c r="AD41" s="472"/>
      <c r="AE41" s="473">
        <f t="shared" si="2"/>
        <v>0</v>
      </c>
      <c r="AF41" s="323"/>
      <c r="AG41" s="589" t="e">
        <f>VLOOKUP(B41,'[1]Feature Summary'!$A$7:$U$4028,21,FALSE)</f>
        <v>#N/A</v>
      </c>
      <c r="AH41" s="324"/>
    </row>
    <row r="42" spans="1:34" ht="15.75" thickBot="1" x14ac:dyDescent="0.3">
      <c r="A42" s="330" t="s">
        <v>463</v>
      </c>
      <c r="B42" s="564" t="s">
        <v>464</v>
      </c>
      <c r="C42" s="566" t="s">
        <v>310</v>
      </c>
      <c r="D42" s="570" t="s">
        <v>435</v>
      </c>
      <c r="E42" s="566" t="s">
        <v>465</v>
      </c>
      <c r="F42" s="564" t="s">
        <v>466</v>
      </c>
      <c r="G42" s="575" t="e">
        <f>VLOOKUP(A42,'[1]Feature Summary'!$A$7:$C$4028,3,FALSE)</f>
        <v>#N/A</v>
      </c>
      <c r="H42" s="564" t="s">
        <v>467</v>
      </c>
      <c r="I42" s="437" t="s">
        <v>315</v>
      </c>
      <c r="J42" s="564" t="s">
        <v>359</v>
      </c>
      <c r="K42" s="577">
        <v>1</v>
      </c>
      <c r="L42" s="579">
        <v>10</v>
      </c>
      <c r="M42" s="581" t="s">
        <v>39</v>
      </c>
      <c r="N42" s="584">
        <v>1</v>
      </c>
      <c r="O42" s="579">
        <v>10</v>
      </c>
      <c r="P42" s="585">
        <v>1</v>
      </c>
      <c r="Q42" s="587" t="s">
        <v>38</v>
      </c>
      <c r="R42" s="579">
        <v>10</v>
      </c>
      <c r="S42" s="579">
        <v>10</v>
      </c>
      <c r="T42" s="579">
        <v>10</v>
      </c>
      <c r="U42" s="472"/>
      <c r="V42" s="472"/>
      <c r="W42" s="472"/>
      <c r="X42" s="483">
        <f t="shared" si="1"/>
        <v>1</v>
      </c>
      <c r="Y42" s="440"/>
      <c r="Z42" s="471"/>
      <c r="AA42" s="472"/>
      <c r="AB42" s="472"/>
      <c r="AC42" s="472"/>
      <c r="AD42" s="472"/>
      <c r="AE42" s="473">
        <f t="shared" si="2"/>
        <v>0</v>
      </c>
      <c r="AF42" s="323"/>
      <c r="AG42" s="589" t="e">
        <f>VLOOKUP(B42,'[1]Feature Summary'!$A$7:$U$4028,21,FALSE)</f>
        <v>#N/A</v>
      </c>
      <c r="AH42" s="324"/>
    </row>
    <row r="43" spans="1:34" ht="15.75" thickBot="1" x14ac:dyDescent="0.3">
      <c r="A43" s="330" t="s">
        <v>468</v>
      </c>
      <c r="B43" s="564" t="s">
        <v>469</v>
      </c>
      <c r="C43" s="566" t="s">
        <v>310</v>
      </c>
      <c r="D43" s="570" t="s">
        <v>435</v>
      </c>
      <c r="E43" s="566" t="s">
        <v>457</v>
      </c>
      <c r="F43" s="564" t="s">
        <v>469</v>
      </c>
      <c r="G43" s="575" t="e">
        <f>VLOOKUP(A43,'[1]Feature Summary'!$A$7:$C$4028,3,FALSE)</f>
        <v>#N/A</v>
      </c>
      <c r="H43" s="564" t="s">
        <v>459</v>
      </c>
      <c r="I43" s="437" t="s">
        <v>35</v>
      </c>
      <c r="J43" s="564" t="s">
        <v>359</v>
      </c>
      <c r="K43" s="577">
        <v>1</v>
      </c>
      <c r="L43" s="579">
        <v>8</v>
      </c>
      <c r="M43" s="581" t="s">
        <v>39</v>
      </c>
      <c r="N43" s="584">
        <v>1</v>
      </c>
      <c r="O43" s="579">
        <v>8</v>
      </c>
      <c r="P43" s="585">
        <v>1</v>
      </c>
      <c r="Q43" s="587" t="s">
        <v>38</v>
      </c>
      <c r="R43" s="579">
        <v>8</v>
      </c>
      <c r="S43" s="579">
        <v>8</v>
      </c>
      <c r="T43" s="579">
        <v>8</v>
      </c>
      <c r="U43" s="472"/>
      <c r="V43" s="472"/>
      <c r="W43" s="472"/>
      <c r="X43" s="483">
        <f t="shared" si="1"/>
        <v>1</v>
      </c>
      <c r="Y43" s="440"/>
      <c r="Z43" s="471"/>
      <c r="AA43" s="472"/>
      <c r="AB43" s="472"/>
      <c r="AC43" s="472"/>
      <c r="AD43" s="472"/>
      <c r="AE43" s="473">
        <f t="shared" si="2"/>
        <v>0</v>
      </c>
      <c r="AF43" s="323"/>
      <c r="AG43" s="589" t="e">
        <f>VLOOKUP(B43,'[1]Feature Summary'!$A$7:$U$4028,21,FALSE)</f>
        <v>#N/A</v>
      </c>
      <c r="AH43" s="324"/>
    </row>
    <row r="44" spans="1:34" ht="15.75" hidden="1" thickBot="1" x14ac:dyDescent="0.3">
      <c r="A44" s="330" t="s">
        <v>470</v>
      </c>
      <c r="B44" s="564" t="s">
        <v>471</v>
      </c>
      <c r="C44" s="566" t="s">
        <v>310</v>
      </c>
      <c r="D44" s="570" t="s">
        <v>472</v>
      </c>
      <c r="E44" s="566"/>
      <c r="F44" s="564" t="s">
        <v>473</v>
      </c>
      <c r="G44" s="575" t="e">
        <f>VLOOKUP(A44,'[1]Feature Summary'!$A$7:$C$4028,3,FALSE)</f>
        <v>#N/A</v>
      </c>
      <c r="H44" s="564"/>
      <c r="I44" s="437" t="s">
        <v>315</v>
      </c>
      <c r="J44" s="564"/>
      <c r="K44" s="577">
        <v>1</v>
      </c>
      <c r="L44" s="579">
        <v>1</v>
      </c>
      <c r="M44" s="581" t="s">
        <v>39</v>
      </c>
      <c r="N44" s="584">
        <v>1</v>
      </c>
      <c r="O44" s="579">
        <v>1</v>
      </c>
      <c r="P44" s="585">
        <v>1</v>
      </c>
      <c r="Q44" s="587" t="s">
        <v>48</v>
      </c>
      <c r="R44" s="579">
        <v>1</v>
      </c>
      <c r="S44" s="579">
        <v>1</v>
      </c>
      <c r="T44" s="579">
        <v>1</v>
      </c>
      <c r="U44" s="472"/>
      <c r="V44" s="472"/>
      <c r="W44" s="472"/>
      <c r="X44" s="483">
        <f t="shared" si="1"/>
        <v>1</v>
      </c>
      <c r="Y44" s="440"/>
      <c r="Z44" s="471"/>
      <c r="AA44" s="472"/>
      <c r="AB44" s="472"/>
      <c r="AC44" s="472"/>
      <c r="AD44" s="472"/>
      <c r="AE44" s="473">
        <f t="shared" si="2"/>
        <v>0</v>
      </c>
      <c r="AF44" s="323"/>
      <c r="AG44" s="589" t="e">
        <f>VLOOKUP(B44,'[1]Feature Summary'!$A$7:$U$4028,21,FALSE)</f>
        <v>#N/A</v>
      </c>
      <c r="AH44" s="324"/>
    </row>
    <row r="45" spans="1:34" ht="15.75" hidden="1" thickBot="1" x14ac:dyDescent="0.3">
      <c r="A45" s="330" t="s">
        <v>474</v>
      </c>
      <c r="B45" s="564" t="s">
        <v>475</v>
      </c>
      <c r="C45" s="566" t="s">
        <v>310</v>
      </c>
      <c r="D45" s="570" t="s">
        <v>472</v>
      </c>
      <c r="E45" s="566"/>
      <c r="F45" s="564" t="s">
        <v>476</v>
      </c>
      <c r="G45" s="575" t="e">
        <f>VLOOKUP(A45,'[1]Feature Summary'!$A$7:$C$4028,3,FALSE)</f>
        <v>#N/A</v>
      </c>
      <c r="H45" s="564"/>
      <c r="I45" s="437" t="s">
        <v>315</v>
      </c>
      <c r="J45" s="564"/>
      <c r="K45" s="577">
        <v>1</v>
      </c>
      <c r="L45" s="579">
        <v>1</v>
      </c>
      <c r="M45" s="581" t="s">
        <v>39</v>
      </c>
      <c r="N45" s="584">
        <v>1</v>
      </c>
      <c r="O45" s="579">
        <v>1</v>
      </c>
      <c r="P45" s="585">
        <v>1</v>
      </c>
      <c r="Q45" s="587" t="s">
        <v>48</v>
      </c>
      <c r="R45" s="579">
        <v>1</v>
      </c>
      <c r="S45" s="579">
        <v>1</v>
      </c>
      <c r="T45" s="579">
        <v>1</v>
      </c>
      <c r="U45" s="472"/>
      <c r="V45" s="472"/>
      <c r="W45" s="472"/>
      <c r="X45" s="483">
        <f t="shared" si="1"/>
        <v>1</v>
      </c>
      <c r="Y45" s="440"/>
      <c r="Z45" s="471"/>
      <c r="AA45" s="472"/>
      <c r="AB45" s="472"/>
      <c r="AC45" s="472"/>
      <c r="AD45" s="472"/>
      <c r="AE45" s="473">
        <f t="shared" si="2"/>
        <v>0</v>
      </c>
      <c r="AF45" s="323"/>
      <c r="AG45" s="589" t="e">
        <f>VLOOKUP(B45,'[1]Feature Summary'!$A$7:$U$4028,21,FALSE)</f>
        <v>#N/A</v>
      </c>
      <c r="AH45" s="324"/>
    </row>
    <row r="46" spans="1:34" ht="15.75" thickBot="1" x14ac:dyDescent="0.3">
      <c r="A46" s="330" t="s">
        <v>477</v>
      </c>
      <c r="B46" s="564" t="s">
        <v>478</v>
      </c>
      <c r="C46" s="566" t="s">
        <v>310</v>
      </c>
      <c r="D46" s="570" t="s">
        <v>472</v>
      </c>
      <c r="E46" s="566" t="s">
        <v>479</v>
      </c>
      <c r="F46" s="564" t="s">
        <v>480</v>
      </c>
      <c r="G46" s="575" t="e">
        <f>VLOOKUP(A46,'[1]Feature Summary'!$A$7:$C$4028,3,FALSE)</f>
        <v>#N/A</v>
      </c>
      <c r="H46" s="564" t="s">
        <v>481</v>
      </c>
      <c r="I46" s="437" t="s">
        <v>315</v>
      </c>
      <c r="J46" s="564" t="s">
        <v>482</v>
      </c>
      <c r="K46" s="577">
        <v>1</v>
      </c>
      <c r="L46" s="579">
        <v>108</v>
      </c>
      <c r="M46" s="581" t="s">
        <v>33</v>
      </c>
      <c r="N46" s="584">
        <v>1</v>
      </c>
      <c r="O46" s="579">
        <v>108</v>
      </c>
      <c r="P46" s="585">
        <v>1</v>
      </c>
      <c r="Q46" s="587" t="s">
        <v>38</v>
      </c>
      <c r="R46" s="579">
        <v>108</v>
      </c>
      <c r="S46" s="579">
        <v>108</v>
      </c>
      <c r="T46" s="579">
        <v>108</v>
      </c>
      <c r="U46" s="472"/>
      <c r="V46" s="472"/>
      <c r="W46" s="472"/>
      <c r="X46" s="483">
        <f t="shared" si="1"/>
        <v>1</v>
      </c>
      <c r="Y46" s="440"/>
      <c r="Z46" s="471"/>
      <c r="AA46" s="472"/>
      <c r="AB46" s="472"/>
      <c r="AC46" s="472"/>
      <c r="AD46" s="472"/>
      <c r="AE46" s="473">
        <f t="shared" si="2"/>
        <v>0</v>
      </c>
      <c r="AF46" s="323"/>
      <c r="AG46" s="589" t="e">
        <f>VLOOKUP(B46,'[1]Feature Summary'!$A$7:$U$4028,21,FALSE)</f>
        <v>#N/A</v>
      </c>
      <c r="AH46" s="324"/>
    </row>
    <row r="47" spans="1:34" ht="15.75" thickBot="1" x14ac:dyDescent="0.3">
      <c r="A47" s="330" t="s">
        <v>483</v>
      </c>
      <c r="B47" s="564" t="s">
        <v>484</v>
      </c>
      <c r="C47" s="566" t="s">
        <v>310</v>
      </c>
      <c r="D47" s="570" t="s">
        <v>472</v>
      </c>
      <c r="E47" s="566" t="s">
        <v>485</v>
      </c>
      <c r="F47" s="564" t="s">
        <v>486</v>
      </c>
      <c r="G47" s="575" t="e">
        <f>VLOOKUP(A47,'[1]Feature Summary'!$A$7:$C$4028,3,FALSE)</f>
        <v>#N/A</v>
      </c>
      <c r="H47" s="564" t="s">
        <v>487</v>
      </c>
      <c r="I47" s="437" t="s">
        <v>315</v>
      </c>
      <c r="J47" s="564" t="s">
        <v>488</v>
      </c>
      <c r="K47" s="577">
        <v>1</v>
      </c>
      <c r="L47" s="579">
        <v>3</v>
      </c>
      <c r="M47" s="581" t="s">
        <v>33</v>
      </c>
      <c r="N47" s="584">
        <v>1</v>
      </c>
      <c r="O47" s="579">
        <v>3</v>
      </c>
      <c r="P47" s="585">
        <v>1</v>
      </c>
      <c r="Q47" s="587" t="s">
        <v>38</v>
      </c>
      <c r="R47" s="579">
        <v>3</v>
      </c>
      <c r="S47" s="579">
        <v>3</v>
      </c>
      <c r="T47" s="579">
        <v>3</v>
      </c>
      <c r="U47" s="472"/>
      <c r="V47" s="472"/>
      <c r="W47" s="472"/>
      <c r="X47" s="483">
        <f t="shared" si="1"/>
        <v>1</v>
      </c>
      <c r="Y47" s="440"/>
      <c r="Z47" s="471"/>
      <c r="AA47" s="472"/>
      <c r="AB47" s="472"/>
      <c r="AC47" s="472"/>
      <c r="AD47" s="472"/>
      <c r="AE47" s="473">
        <f t="shared" si="2"/>
        <v>0</v>
      </c>
      <c r="AF47" s="323"/>
      <c r="AG47" s="589" t="e">
        <f>VLOOKUP(B47,'[1]Feature Summary'!$A$7:$U$4028,21,FALSE)</f>
        <v>#N/A</v>
      </c>
      <c r="AH47" s="324"/>
    </row>
    <row r="48" spans="1:34" ht="15.75" thickBot="1" x14ac:dyDescent="0.3">
      <c r="A48" s="330" t="s">
        <v>489</v>
      </c>
      <c r="B48" s="564" t="s">
        <v>490</v>
      </c>
      <c r="C48" s="566" t="s">
        <v>310</v>
      </c>
      <c r="D48" s="570" t="s">
        <v>472</v>
      </c>
      <c r="E48" s="566" t="s">
        <v>491</v>
      </c>
      <c r="F48" s="564" t="s">
        <v>492</v>
      </c>
      <c r="G48" s="575" t="e">
        <f>VLOOKUP(A48,'[1]Feature Summary'!$A$7:$C$4028,3,FALSE)</f>
        <v>#N/A</v>
      </c>
      <c r="H48" s="564" t="s">
        <v>493</v>
      </c>
      <c r="I48" s="437" t="s">
        <v>315</v>
      </c>
      <c r="J48" s="564" t="s">
        <v>488</v>
      </c>
      <c r="K48" s="577">
        <v>1</v>
      </c>
      <c r="L48" s="579">
        <v>3</v>
      </c>
      <c r="M48" s="581" t="s">
        <v>33</v>
      </c>
      <c r="N48" s="584">
        <v>1</v>
      </c>
      <c r="O48" s="579">
        <v>3</v>
      </c>
      <c r="P48" s="585">
        <v>1</v>
      </c>
      <c r="Q48" s="587" t="s">
        <v>38</v>
      </c>
      <c r="R48" s="579">
        <v>3</v>
      </c>
      <c r="S48" s="579">
        <v>3</v>
      </c>
      <c r="T48" s="579">
        <v>3</v>
      </c>
      <c r="U48" s="472"/>
      <c r="V48" s="472"/>
      <c r="W48" s="472"/>
      <c r="X48" s="483">
        <f t="shared" si="1"/>
        <v>1</v>
      </c>
      <c r="Y48" s="440"/>
      <c r="Z48" s="471"/>
      <c r="AA48" s="472"/>
      <c r="AB48" s="472"/>
      <c r="AC48" s="472"/>
      <c r="AD48" s="472"/>
      <c r="AE48" s="473">
        <f t="shared" si="2"/>
        <v>0</v>
      </c>
      <c r="AF48" s="323"/>
      <c r="AG48" s="589" t="e">
        <f>VLOOKUP(B48,'[1]Feature Summary'!$A$7:$U$4028,21,FALSE)</f>
        <v>#N/A</v>
      </c>
      <c r="AH48" s="324"/>
    </row>
    <row r="49" spans="1:34" ht="15.75" hidden="1" thickBot="1" x14ac:dyDescent="0.3">
      <c r="A49" s="330" t="s">
        <v>494</v>
      </c>
      <c r="B49" s="564" t="s">
        <v>495</v>
      </c>
      <c r="C49" s="566" t="s">
        <v>310</v>
      </c>
      <c r="D49" s="570" t="s">
        <v>472</v>
      </c>
      <c r="E49" s="566" t="s">
        <v>479</v>
      </c>
      <c r="F49" s="564" t="s">
        <v>495</v>
      </c>
      <c r="G49" s="575" t="e">
        <f>VLOOKUP(A49,'[1]Feature Summary'!$A$7:$C$4028,3,FALSE)</f>
        <v>#N/A</v>
      </c>
      <c r="H49" s="564" t="s">
        <v>481</v>
      </c>
      <c r="I49" s="437" t="s">
        <v>315</v>
      </c>
      <c r="J49" s="564" t="s">
        <v>482</v>
      </c>
      <c r="K49" s="577">
        <v>1</v>
      </c>
      <c r="L49" s="579">
        <v>1</v>
      </c>
      <c r="M49" s="581" t="s">
        <v>33</v>
      </c>
      <c r="N49" s="584">
        <v>1</v>
      </c>
      <c r="O49" s="579">
        <v>1</v>
      </c>
      <c r="P49" s="585">
        <v>1</v>
      </c>
      <c r="Q49" s="587" t="s">
        <v>38</v>
      </c>
      <c r="R49" s="579">
        <v>1</v>
      </c>
      <c r="S49" s="579">
        <v>1</v>
      </c>
      <c r="T49" s="579">
        <v>1</v>
      </c>
      <c r="U49" s="472"/>
      <c r="V49" s="472"/>
      <c r="W49" s="472"/>
      <c r="X49" s="483">
        <f t="shared" si="1"/>
        <v>1</v>
      </c>
      <c r="Y49" s="440"/>
      <c r="Z49" s="471"/>
      <c r="AA49" s="472"/>
      <c r="AB49" s="472"/>
      <c r="AC49" s="472"/>
      <c r="AD49" s="472"/>
      <c r="AE49" s="473">
        <f t="shared" si="2"/>
        <v>0</v>
      </c>
      <c r="AF49" s="323"/>
      <c r="AG49" s="589" t="e">
        <f>VLOOKUP(B49,'[1]Feature Summary'!$A$7:$U$4028,21,FALSE)</f>
        <v>#N/A</v>
      </c>
      <c r="AH49" s="324"/>
    </row>
    <row r="50" spans="1:34" ht="15.75" thickBot="1" x14ac:dyDescent="0.3">
      <c r="A50" s="330" t="s">
        <v>496</v>
      </c>
      <c r="B50" s="564" t="s">
        <v>497</v>
      </c>
      <c r="C50" s="566" t="s">
        <v>310</v>
      </c>
      <c r="D50" s="570" t="s">
        <v>498</v>
      </c>
      <c r="E50" s="566" t="s">
        <v>499</v>
      </c>
      <c r="F50" s="564" t="s">
        <v>500</v>
      </c>
      <c r="G50" s="575" t="e">
        <f>VLOOKUP(A50,'[1]Feature Summary'!$A$7:$C$4028,3,FALSE)</f>
        <v>#N/A</v>
      </c>
      <c r="H50" s="564" t="s">
        <v>501</v>
      </c>
      <c r="I50" s="437" t="s">
        <v>35</v>
      </c>
      <c r="J50" s="564" t="s">
        <v>488</v>
      </c>
      <c r="K50" s="577">
        <v>1</v>
      </c>
      <c r="L50" s="579">
        <v>3</v>
      </c>
      <c r="M50" s="581" t="s">
        <v>33</v>
      </c>
      <c r="N50" s="584">
        <v>1</v>
      </c>
      <c r="O50" s="579">
        <v>3</v>
      </c>
      <c r="P50" s="585">
        <v>1</v>
      </c>
      <c r="Q50" s="587" t="s">
        <v>38</v>
      </c>
      <c r="R50" s="579">
        <v>3</v>
      </c>
      <c r="S50" s="579">
        <v>3</v>
      </c>
      <c r="T50" s="579">
        <v>3</v>
      </c>
      <c r="U50" s="472"/>
      <c r="V50" s="472"/>
      <c r="W50" s="472"/>
      <c r="X50" s="483">
        <f t="shared" si="1"/>
        <v>1</v>
      </c>
      <c r="Y50" s="440"/>
      <c r="Z50" s="471"/>
      <c r="AA50" s="472"/>
      <c r="AB50" s="472"/>
      <c r="AC50" s="472"/>
      <c r="AD50" s="472"/>
      <c r="AE50" s="473">
        <f t="shared" si="2"/>
        <v>0</v>
      </c>
      <c r="AF50" s="323"/>
      <c r="AG50" s="589" t="e">
        <f>VLOOKUP(B50,'[1]Feature Summary'!$A$7:$U$4028,21,FALSE)</f>
        <v>#N/A</v>
      </c>
      <c r="AH50" s="324"/>
    </row>
    <row r="51" spans="1:34" ht="15.75" thickBot="1" x14ac:dyDescent="0.3">
      <c r="A51" s="330" t="s">
        <v>496</v>
      </c>
      <c r="B51" s="564" t="s">
        <v>497</v>
      </c>
      <c r="C51" s="566" t="s">
        <v>310</v>
      </c>
      <c r="D51" s="570" t="s">
        <v>498</v>
      </c>
      <c r="E51" s="566" t="s">
        <v>499</v>
      </c>
      <c r="F51" s="564" t="s">
        <v>502</v>
      </c>
      <c r="G51" s="575" t="e">
        <f>VLOOKUP(A51,'[1]Feature Summary'!$A$7:$C$4028,3,FALSE)</f>
        <v>#N/A</v>
      </c>
      <c r="H51" s="564" t="s">
        <v>503</v>
      </c>
      <c r="I51" s="437" t="s">
        <v>35</v>
      </c>
      <c r="J51" s="564" t="s">
        <v>488</v>
      </c>
      <c r="K51" s="577">
        <v>1</v>
      </c>
      <c r="L51" s="579">
        <v>3</v>
      </c>
      <c r="M51" s="581" t="s">
        <v>33</v>
      </c>
      <c r="N51" s="584">
        <v>1</v>
      </c>
      <c r="O51" s="579">
        <v>3</v>
      </c>
      <c r="P51" s="585">
        <v>1</v>
      </c>
      <c r="Q51" s="587" t="s">
        <v>38</v>
      </c>
      <c r="R51" s="579">
        <v>3</v>
      </c>
      <c r="S51" s="579">
        <v>3</v>
      </c>
      <c r="T51" s="579">
        <v>3</v>
      </c>
      <c r="U51" s="472"/>
      <c r="V51" s="472"/>
      <c r="W51" s="472"/>
      <c r="X51" s="483">
        <f t="shared" si="1"/>
        <v>1</v>
      </c>
      <c r="Y51" s="440"/>
      <c r="Z51" s="471"/>
      <c r="AA51" s="472"/>
      <c r="AB51" s="472"/>
      <c r="AC51" s="472"/>
      <c r="AD51" s="472"/>
      <c r="AE51" s="473">
        <f t="shared" si="2"/>
        <v>0</v>
      </c>
      <c r="AF51" s="323"/>
      <c r="AG51" s="589" t="e">
        <f>VLOOKUP(B51,'[1]Feature Summary'!$A$7:$U$4028,21,FALSE)</f>
        <v>#N/A</v>
      </c>
      <c r="AH51" s="324"/>
    </row>
    <row r="52" spans="1:34" ht="15.75" thickBot="1" x14ac:dyDescent="0.3">
      <c r="A52" s="330" t="s">
        <v>496</v>
      </c>
      <c r="B52" s="564" t="s">
        <v>497</v>
      </c>
      <c r="C52" s="566" t="s">
        <v>310</v>
      </c>
      <c r="D52" s="570" t="s">
        <v>498</v>
      </c>
      <c r="E52" s="566" t="s">
        <v>499</v>
      </c>
      <c r="F52" s="564" t="s">
        <v>504</v>
      </c>
      <c r="G52" s="575" t="e">
        <f>VLOOKUP(A52,'[1]Feature Summary'!$A$7:$C$4028,3,FALSE)</f>
        <v>#N/A</v>
      </c>
      <c r="H52" s="564" t="s">
        <v>505</v>
      </c>
      <c r="I52" s="437" t="s">
        <v>35</v>
      </c>
      <c r="J52" s="564" t="s">
        <v>506</v>
      </c>
      <c r="K52" s="577">
        <v>1</v>
      </c>
      <c r="L52" s="579">
        <v>3</v>
      </c>
      <c r="M52" s="581" t="s">
        <v>33</v>
      </c>
      <c r="N52" s="584">
        <v>1</v>
      </c>
      <c r="O52" s="579">
        <v>3</v>
      </c>
      <c r="P52" s="585">
        <v>1</v>
      </c>
      <c r="Q52" s="587" t="s">
        <v>38</v>
      </c>
      <c r="R52" s="579">
        <v>3</v>
      </c>
      <c r="S52" s="579">
        <v>3</v>
      </c>
      <c r="T52" s="579">
        <v>3</v>
      </c>
      <c r="U52" s="472"/>
      <c r="V52" s="472"/>
      <c r="W52" s="472"/>
      <c r="X52" s="483">
        <f t="shared" si="1"/>
        <v>1</v>
      </c>
      <c r="Y52" s="440"/>
      <c r="Z52" s="471"/>
      <c r="AA52" s="472"/>
      <c r="AB52" s="472"/>
      <c r="AC52" s="472"/>
      <c r="AD52" s="472"/>
      <c r="AE52" s="473">
        <f t="shared" si="2"/>
        <v>0</v>
      </c>
      <c r="AF52" s="323"/>
      <c r="AG52" s="589" t="e">
        <f>VLOOKUP(B52,'[1]Feature Summary'!$A$7:$U$4028,21,FALSE)</f>
        <v>#N/A</v>
      </c>
      <c r="AH52" s="324"/>
    </row>
    <row r="53" spans="1:34" ht="15.75" hidden="1" thickBot="1" x14ac:dyDescent="0.3">
      <c r="A53" s="330" t="s">
        <v>507</v>
      </c>
      <c r="B53" s="564" t="s">
        <v>508</v>
      </c>
      <c r="C53" s="566" t="s">
        <v>310</v>
      </c>
      <c r="D53" s="570" t="s">
        <v>498</v>
      </c>
      <c r="E53" s="566"/>
      <c r="F53" s="564" t="s">
        <v>500</v>
      </c>
      <c r="G53" s="575" t="e">
        <f>VLOOKUP(A53,'[1]Feature Summary'!$A$7:$C$4028,3,FALSE)</f>
        <v>#N/A</v>
      </c>
      <c r="H53" s="564"/>
      <c r="I53" s="437" t="s">
        <v>315</v>
      </c>
      <c r="J53" s="564"/>
      <c r="K53" s="577">
        <v>1</v>
      </c>
      <c r="L53" s="579">
        <v>1</v>
      </c>
      <c r="M53" s="581" t="s">
        <v>33</v>
      </c>
      <c r="N53" s="584">
        <v>1</v>
      </c>
      <c r="O53" s="579">
        <v>1</v>
      </c>
      <c r="P53" s="585">
        <v>1</v>
      </c>
      <c r="Q53" s="587" t="s">
        <v>48</v>
      </c>
      <c r="R53" s="579">
        <v>1</v>
      </c>
      <c r="S53" s="579">
        <v>1</v>
      </c>
      <c r="T53" s="579">
        <v>1</v>
      </c>
      <c r="U53" s="472"/>
      <c r="V53" s="472"/>
      <c r="W53" s="472"/>
      <c r="X53" s="483">
        <f t="shared" si="1"/>
        <v>1</v>
      </c>
      <c r="Y53" s="440"/>
      <c r="Z53" s="471"/>
      <c r="AA53" s="472"/>
      <c r="AB53" s="472"/>
      <c r="AC53" s="472"/>
      <c r="AD53" s="472"/>
      <c r="AE53" s="473">
        <f t="shared" si="2"/>
        <v>0</v>
      </c>
      <c r="AF53" s="323"/>
      <c r="AG53" s="589" t="e">
        <f>VLOOKUP(B53,'[1]Feature Summary'!$A$7:$U$4028,21,FALSE)</f>
        <v>#N/A</v>
      </c>
      <c r="AH53" s="324"/>
    </row>
    <row r="54" spans="1:34" ht="15.75" hidden="1" thickBot="1" x14ac:dyDescent="0.3">
      <c r="A54" s="330" t="s">
        <v>507</v>
      </c>
      <c r="B54" s="564" t="s">
        <v>508</v>
      </c>
      <c r="C54" s="566" t="s">
        <v>310</v>
      </c>
      <c r="D54" s="570" t="s">
        <v>498</v>
      </c>
      <c r="E54" s="566"/>
      <c r="F54" s="564" t="s">
        <v>502</v>
      </c>
      <c r="G54" s="575" t="e">
        <f>VLOOKUP(A54,'[1]Feature Summary'!$A$7:$C$4028,3,FALSE)</f>
        <v>#N/A</v>
      </c>
      <c r="H54" s="564"/>
      <c r="I54" s="437" t="s">
        <v>315</v>
      </c>
      <c r="J54" s="564"/>
      <c r="K54" s="577">
        <v>1</v>
      </c>
      <c r="L54" s="579">
        <v>1</v>
      </c>
      <c r="M54" s="581" t="s">
        <v>39</v>
      </c>
      <c r="N54" s="584">
        <v>1</v>
      </c>
      <c r="O54" s="579">
        <v>1</v>
      </c>
      <c r="P54" s="585">
        <v>1</v>
      </c>
      <c r="Q54" s="587" t="s">
        <v>48</v>
      </c>
      <c r="R54" s="579">
        <v>1</v>
      </c>
      <c r="S54" s="579">
        <v>1</v>
      </c>
      <c r="T54" s="579">
        <v>1</v>
      </c>
      <c r="U54" s="472"/>
      <c r="V54" s="472"/>
      <c r="W54" s="472"/>
      <c r="X54" s="483">
        <f t="shared" si="1"/>
        <v>1</v>
      </c>
      <c r="Y54" s="440"/>
      <c r="Z54" s="471"/>
      <c r="AA54" s="472"/>
      <c r="AB54" s="472"/>
      <c r="AC54" s="472"/>
      <c r="AD54" s="472"/>
      <c r="AE54" s="473">
        <f t="shared" si="2"/>
        <v>0</v>
      </c>
      <c r="AF54" s="323"/>
      <c r="AG54" s="589" t="e">
        <f>VLOOKUP(B54,'[1]Feature Summary'!$A$7:$U$4028,21,FALSE)</f>
        <v>#N/A</v>
      </c>
      <c r="AH54" s="324"/>
    </row>
    <row r="55" spans="1:34" ht="15.75" hidden="1" thickBot="1" x14ac:dyDescent="0.3">
      <c r="A55" s="330" t="s">
        <v>507</v>
      </c>
      <c r="B55" s="564" t="s">
        <v>508</v>
      </c>
      <c r="C55" s="566" t="s">
        <v>310</v>
      </c>
      <c r="D55" s="570" t="s">
        <v>498</v>
      </c>
      <c r="E55" s="566"/>
      <c r="F55" s="564" t="s">
        <v>504</v>
      </c>
      <c r="G55" s="575" t="e">
        <f>VLOOKUP(A55,'[1]Feature Summary'!$A$7:$C$4028,3,FALSE)</f>
        <v>#N/A</v>
      </c>
      <c r="H55" s="564"/>
      <c r="I55" s="437" t="s">
        <v>315</v>
      </c>
      <c r="J55" s="564"/>
      <c r="K55" s="577">
        <v>1</v>
      </c>
      <c r="L55" s="579">
        <v>1</v>
      </c>
      <c r="M55" s="581" t="s">
        <v>39</v>
      </c>
      <c r="N55" s="584">
        <v>1</v>
      </c>
      <c r="O55" s="579">
        <v>1</v>
      </c>
      <c r="P55" s="585">
        <v>1</v>
      </c>
      <c r="Q55" s="587" t="s">
        <v>48</v>
      </c>
      <c r="R55" s="579">
        <v>1</v>
      </c>
      <c r="S55" s="579">
        <v>1</v>
      </c>
      <c r="T55" s="579">
        <v>1</v>
      </c>
      <c r="U55" s="472"/>
      <c r="V55" s="472"/>
      <c r="W55" s="472"/>
      <c r="X55" s="483">
        <f t="shared" si="1"/>
        <v>1</v>
      </c>
      <c r="Y55" s="440"/>
      <c r="Z55" s="471"/>
      <c r="AA55" s="472"/>
      <c r="AB55" s="472"/>
      <c r="AC55" s="472"/>
      <c r="AD55" s="472"/>
      <c r="AE55" s="473">
        <f t="shared" si="2"/>
        <v>0</v>
      </c>
      <c r="AF55" s="323"/>
      <c r="AG55" s="589" t="e">
        <f>VLOOKUP(B55,'[1]Feature Summary'!$A$7:$U$4028,21,FALSE)</f>
        <v>#N/A</v>
      </c>
      <c r="AH55" s="324"/>
    </row>
    <row r="56" spans="1:34" ht="15.75" thickBot="1" x14ac:dyDescent="0.3">
      <c r="A56" s="330" t="s">
        <v>509</v>
      </c>
      <c r="B56" s="564" t="s">
        <v>510</v>
      </c>
      <c r="C56" s="566" t="s">
        <v>310</v>
      </c>
      <c r="D56" s="570" t="s">
        <v>498</v>
      </c>
      <c r="E56" s="566" t="s">
        <v>511</v>
      </c>
      <c r="F56" s="564" t="s">
        <v>512</v>
      </c>
      <c r="G56" s="575" t="e">
        <f>VLOOKUP(A56,'[1]Feature Summary'!$A$7:$C$4028,3,FALSE)</f>
        <v>#N/A</v>
      </c>
      <c r="H56" s="564" t="s">
        <v>513</v>
      </c>
      <c r="I56" s="437" t="s">
        <v>315</v>
      </c>
      <c r="J56" s="564" t="s">
        <v>488</v>
      </c>
      <c r="K56" s="577">
        <v>1</v>
      </c>
      <c r="L56" s="579">
        <v>3</v>
      </c>
      <c r="M56" s="581" t="s">
        <v>39</v>
      </c>
      <c r="N56" s="584">
        <v>1</v>
      </c>
      <c r="O56" s="579">
        <v>3</v>
      </c>
      <c r="P56" s="585">
        <v>1</v>
      </c>
      <c r="Q56" s="587" t="s">
        <v>38</v>
      </c>
      <c r="R56" s="579">
        <v>3</v>
      </c>
      <c r="S56" s="579">
        <v>3</v>
      </c>
      <c r="T56" s="579">
        <v>3</v>
      </c>
      <c r="U56" s="472"/>
      <c r="V56" s="472"/>
      <c r="W56" s="472"/>
      <c r="X56" s="483">
        <f t="shared" si="1"/>
        <v>1</v>
      </c>
      <c r="Y56" s="440"/>
      <c r="Z56" s="471"/>
      <c r="AA56" s="472"/>
      <c r="AB56" s="472"/>
      <c r="AC56" s="472"/>
      <c r="AD56" s="472"/>
      <c r="AE56" s="473">
        <f t="shared" si="2"/>
        <v>0</v>
      </c>
      <c r="AF56" s="323"/>
      <c r="AG56" s="589" t="e">
        <f>VLOOKUP(B56,'[1]Feature Summary'!$A$7:$U$4028,21,FALSE)</f>
        <v>#N/A</v>
      </c>
      <c r="AH56" s="324"/>
    </row>
    <row r="57" spans="1:34" ht="15.75" hidden="1" thickBot="1" x14ac:dyDescent="0.3">
      <c r="A57" s="330" t="s">
        <v>514</v>
      </c>
      <c r="B57" s="564" t="s">
        <v>515</v>
      </c>
      <c r="C57" s="566" t="s">
        <v>310</v>
      </c>
      <c r="D57" s="570" t="s">
        <v>498</v>
      </c>
      <c r="E57" s="566" t="s">
        <v>516</v>
      </c>
      <c r="F57" s="564" t="s">
        <v>517</v>
      </c>
      <c r="G57" s="575" t="e">
        <f>VLOOKUP(A57,'[1]Feature Summary'!$A$7:$C$4028,3,FALSE)</f>
        <v>#N/A</v>
      </c>
      <c r="H57" s="564" t="s">
        <v>518</v>
      </c>
      <c r="I57" s="437" t="s">
        <v>315</v>
      </c>
      <c r="J57" s="564" t="s">
        <v>519</v>
      </c>
      <c r="K57" s="577">
        <v>1</v>
      </c>
      <c r="L57" s="579">
        <v>1</v>
      </c>
      <c r="M57" s="581" t="s">
        <v>33</v>
      </c>
      <c r="N57" s="584">
        <v>1</v>
      </c>
      <c r="O57" s="579">
        <v>1</v>
      </c>
      <c r="P57" s="585">
        <v>1</v>
      </c>
      <c r="Q57" s="587" t="s">
        <v>48</v>
      </c>
      <c r="R57" s="579">
        <v>1</v>
      </c>
      <c r="S57" s="579">
        <v>1</v>
      </c>
      <c r="T57" s="579">
        <v>1</v>
      </c>
      <c r="U57" s="472"/>
      <c r="V57" s="472"/>
      <c r="W57" s="472"/>
      <c r="X57" s="483">
        <f t="shared" si="1"/>
        <v>1</v>
      </c>
      <c r="Y57" s="440"/>
      <c r="Z57" s="471"/>
      <c r="AA57" s="472"/>
      <c r="AB57" s="472"/>
      <c r="AC57" s="472"/>
      <c r="AD57" s="472"/>
      <c r="AE57" s="473">
        <f t="shared" si="2"/>
        <v>0</v>
      </c>
      <c r="AF57" s="323"/>
      <c r="AG57" s="589" t="e">
        <f>VLOOKUP(B57,'[1]Feature Summary'!$A$7:$U$4028,21,FALSE)</f>
        <v>#N/A</v>
      </c>
      <c r="AH57" s="324"/>
    </row>
    <row r="58" spans="1:34" ht="15.75" hidden="1" thickBot="1" x14ac:dyDescent="0.3">
      <c r="A58" s="330" t="s">
        <v>514</v>
      </c>
      <c r="B58" s="564" t="s">
        <v>515</v>
      </c>
      <c r="C58" s="566" t="s">
        <v>310</v>
      </c>
      <c r="D58" s="570" t="s">
        <v>498</v>
      </c>
      <c r="E58" s="566" t="s">
        <v>520</v>
      </c>
      <c r="F58" s="564" t="s">
        <v>521</v>
      </c>
      <c r="G58" s="575" t="e">
        <f>VLOOKUP(A58,'[1]Feature Summary'!$A$7:$C$4028,3,FALSE)</f>
        <v>#N/A</v>
      </c>
      <c r="H58" s="564" t="s">
        <v>522</v>
      </c>
      <c r="I58" s="437" t="s">
        <v>315</v>
      </c>
      <c r="J58" s="564" t="s">
        <v>519</v>
      </c>
      <c r="K58" s="577">
        <v>1</v>
      </c>
      <c r="L58" s="579">
        <v>1</v>
      </c>
      <c r="M58" s="581" t="s">
        <v>33</v>
      </c>
      <c r="N58" s="584">
        <v>1</v>
      </c>
      <c r="O58" s="579">
        <v>1</v>
      </c>
      <c r="P58" s="585">
        <v>1</v>
      </c>
      <c r="Q58" s="587" t="s">
        <v>38</v>
      </c>
      <c r="R58" s="579">
        <v>1</v>
      </c>
      <c r="S58" s="579">
        <v>1</v>
      </c>
      <c r="T58" s="579">
        <v>1</v>
      </c>
      <c r="U58" s="472"/>
      <c r="V58" s="472"/>
      <c r="W58" s="472"/>
      <c r="X58" s="483">
        <f t="shared" si="1"/>
        <v>1</v>
      </c>
      <c r="Y58" s="440"/>
      <c r="Z58" s="471"/>
      <c r="AA58" s="472"/>
      <c r="AB58" s="472"/>
      <c r="AC58" s="472"/>
      <c r="AD58" s="472"/>
      <c r="AE58" s="473">
        <f t="shared" si="2"/>
        <v>0</v>
      </c>
      <c r="AF58" s="323"/>
      <c r="AG58" s="589" t="e">
        <f>VLOOKUP(B58,'[1]Feature Summary'!$A$7:$U$4028,21,FALSE)</f>
        <v>#N/A</v>
      </c>
      <c r="AH58" s="324"/>
    </row>
    <row r="59" spans="1:34" ht="15.75" hidden="1" thickBot="1" x14ac:dyDescent="0.3">
      <c r="A59" s="330" t="s">
        <v>514</v>
      </c>
      <c r="B59" s="564" t="s">
        <v>515</v>
      </c>
      <c r="C59" s="566" t="s">
        <v>310</v>
      </c>
      <c r="D59" s="570" t="s">
        <v>498</v>
      </c>
      <c r="E59" s="566" t="s">
        <v>523</v>
      </c>
      <c r="F59" s="564" t="s">
        <v>524</v>
      </c>
      <c r="G59" s="575" t="e">
        <f>VLOOKUP(A59,'[1]Feature Summary'!$A$7:$C$4028,3,FALSE)</f>
        <v>#N/A</v>
      </c>
      <c r="H59" s="564" t="s">
        <v>525</v>
      </c>
      <c r="I59" s="437" t="s">
        <v>315</v>
      </c>
      <c r="J59" s="564" t="s">
        <v>519</v>
      </c>
      <c r="K59" s="577">
        <v>1</v>
      </c>
      <c r="L59" s="579">
        <v>1</v>
      </c>
      <c r="M59" s="581" t="s">
        <v>39</v>
      </c>
      <c r="N59" s="584">
        <v>1</v>
      </c>
      <c r="O59" s="579">
        <v>1</v>
      </c>
      <c r="P59" s="585">
        <v>1</v>
      </c>
      <c r="Q59" s="587" t="s">
        <v>48</v>
      </c>
      <c r="R59" s="579">
        <v>1</v>
      </c>
      <c r="S59" s="579">
        <v>1</v>
      </c>
      <c r="T59" s="579">
        <v>1</v>
      </c>
      <c r="U59" s="472"/>
      <c r="V59" s="472"/>
      <c r="W59" s="472"/>
      <c r="X59" s="483">
        <f t="shared" si="1"/>
        <v>1</v>
      </c>
      <c r="Y59" s="440"/>
      <c r="Z59" s="471"/>
      <c r="AA59" s="472"/>
      <c r="AB59" s="472"/>
      <c r="AC59" s="472"/>
      <c r="AD59" s="472"/>
      <c r="AE59" s="473">
        <f t="shared" si="2"/>
        <v>0</v>
      </c>
      <c r="AF59" s="323"/>
      <c r="AG59" s="589" t="e">
        <f>VLOOKUP(B59,'[1]Feature Summary'!$A$7:$U$4028,21,FALSE)</f>
        <v>#N/A</v>
      </c>
      <c r="AH59" s="324"/>
    </row>
    <row r="60" spans="1:34" ht="15.75" thickBot="1" x14ac:dyDescent="0.3">
      <c r="A60" s="330" t="s">
        <v>526</v>
      </c>
      <c r="B60" s="564" t="s">
        <v>527</v>
      </c>
      <c r="C60" s="566" t="s">
        <v>310</v>
      </c>
      <c r="D60" s="570" t="s">
        <v>528</v>
      </c>
      <c r="E60" s="566" t="s">
        <v>529</v>
      </c>
      <c r="F60" s="564" t="s">
        <v>530</v>
      </c>
      <c r="G60" s="575" t="e">
        <f>VLOOKUP(A60,'[1]Feature Summary'!$A$7:$C$4028,3,FALSE)</f>
        <v>#N/A</v>
      </c>
      <c r="H60" s="564" t="s">
        <v>531</v>
      </c>
      <c r="I60" s="437" t="s">
        <v>315</v>
      </c>
      <c r="J60" s="564" t="s">
        <v>532</v>
      </c>
      <c r="K60" s="577">
        <v>1</v>
      </c>
      <c r="L60" s="579">
        <v>2</v>
      </c>
      <c r="M60" s="581" t="s">
        <v>39</v>
      </c>
      <c r="N60" s="584">
        <v>1</v>
      </c>
      <c r="O60" s="579">
        <v>2</v>
      </c>
      <c r="P60" s="585">
        <v>1</v>
      </c>
      <c r="Q60" s="587" t="s">
        <v>48</v>
      </c>
      <c r="R60" s="579">
        <v>2</v>
      </c>
      <c r="S60" s="579">
        <v>2</v>
      </c>
      <c r="T60" s="579">
        <v>2</v>
      </c>
      <c r="U60" s="472"/>
      <c r="V60" s="472"/>
      <c r="W60" s="472"/>
      <c r="X60" s="483">
        <f t="shared" si="1"/>
        <v>1</v>
      </c>
      <c r="Y60" s="440"/>
      <c r="Z60" s="471"/>
      <c r="AA60" s="472"/>
      <c r="AB60" s="472"/>
      <c r="AC60" s="472"/>
      <c r="AD60" s="472"/>
      <c r="AE60" s="473">
        <f t="shared" si="2"/>
        <v>0</v>
      </c>
      <c r="AF60" s="323"/>
      <c r="AG60" s="589" t="e">
        <f>VLOOKUP(B60,'[1]Feature Summary'!$A$7:$U$4028,21,FALSE)</f>
        <v>#N/A</v>
      </c>
      <c r="AH60" s="324"/>
    </row>
    <row r="61" spans="1:34" ht="15.75" thickBot="1" x14ac:dyDescent="0.3">
      <c r="A61" s="330" t="s">
        <v>533</v>
      </c>
      <c r="B61" s="564" t="s">
        <v>534</v>
      </c>
      <c r="C61" s="566" t="s">
        <v>310</v>
      </c>
      <c r="D61" s="570" t="s">
        <v>528</v>
      </c>
      <c r="E61" s="566" t="s">
        <v>529</v>
      </c>
      <c r="F61" s="564" t="s">
        <v>530</v>
      </c>
      <c r="G61" s="575" t="e">
        <f>VLOOKUP(A61,'[1]Feature Summary'!$A$7:$C$4028,3,FALSE)</f>
        <v>#N/A</v>
      </c>
      <c r="H61" s="564" t="s">
        <v>531</v>
      </c>
      <c r="I61" s="437" t="s">
        <v>315</v>
      </c>
      <c r="J61" s="564" t="s">
        <v>532</v>
      </c>
      <c r="K61" s="577">
        <v>1</v>
      </c>
      <c r="L61" s="579">
        <v>2</v>
      </c>
      <c r="M61" s="581" t="s">
        <v>39</v>
      </c>
      <c r="N61" s="584">
        <v>1</v>
      </c>
      <c r="O61" s="579">
        <v>2</v>
      </c>
      <c r="P61" s="585">
        <v>1</v>
      </c>
      <c r="Q61" s="587" t="s">
        <v>48</v>
      </c>
      <c r="R61" s="579">
        <v>2</v>
      </c>
      <c r="S61" s="579">
        <v>2</v>
      </c>
      <c r="T61" s="579">
        <v>2</v>
      </c>
      <c r="U61" s="472"/>
      <c r="V61" s="472"/>
      <c r="W61" s="472"/>
      <c r="X61" s="483">
        <f t="shared" si="1"/>
        <v>1</v>
      </c>
      <c r="Y61" s="440"/>
      <c r="Z61" s="471"/>
      <c r="AA61" s="472"/>
      <c r="AB61" s="472"/>
      <c r="AC61" s="472"/>
      <c r="AD61" s="472"/>
      <c r="AE61" s="473">
        <f t="shared" si="2"/>
        <v>0</v>
      </c>
      <c r="AF61" s="323"/>
      <c r="AG61" s="589" t="e">
        <f>VLOOKUP(B61,'[1]Feature Summary'!$A$7:$U$4028,21,FALSE)</f>
        <v>#N/A</v>
      </c>
      <c r="AH61" s="324"/>
    </row>
    <row r="62" spans="1:34" ht="15.75" thickBot="1" x14ac:dyDescent="0.3">
      <c r="A62" s="330" t="s">
        <v>535</v>
      </c>
      <c r="B62" s="564" t="s">
        <v>536</v>
      </c>
      <c r="C62" s="566" t="s">
        <v>310</v>
      </c>
      <c r="D62" s="570" t="s">
        <v>528</v>
      </c>
      <c r="E62" s="566" t="s">
        <v>426</v>
      </c>
      <c r="F62" s="564" t="s">
        <v>537</v>
      </c>
      <c r="G62" s="575" t="e">
        <f>VLOOKUP(A62,'[1]Feature Summary'!$A$7:$C$4028,3,FALSE)</f>
        <v>#N/A</v>
      </c>
      <c r="H62" s="564" t="s">
        <v>428</v>
      </c>
      <c r="I62" s="437" t="s">
        <v>315</v>
      </c>
      <c r="J62" s="564" t="s">
        <v>429</v>
      </c>
      <c r="K62" s="577">
        <v>1</v>
      </c>
      <c r="L62" s="579">
        <v>2</v>
      </c>
      <c r="M62" s="581" t="s">
        <v>39</v>
      </c>
      <c r="N62" s="584">
        <v>1</v>
      </c>
      <c r="O62" s="579">
        <v>2</v>
      </c>
      <c r="P62" s="585">
        <v>1</v>
      </c>
      <c r="Q62" s="587" t="s">
        <v>38</v>
      </c>
      <c r="R62" s="579">
        <v>2</v>
      </c>
      <c r="S62" s="579">
        <v>2</v>
      </c>
      <c r="T62" s="579">
        <v>2</v>
      </c>
      <c r="U62" s="472"/>
      <c r="V62" s="472"/>
      <c r="W62" s="472"/>
      <c r="X62" s="483">
        <f t="shared" si="1"/>
        <v>1</v>
      </c>
      <c r="Y62" s="440"/>
      <c r="Z62" s="471"/>
      <c r="AA62" s="472"/>
      <c r="AB62" s="472"/>
      <c r="AC62" s="472"/>
      <c r="AD62" s="472"/>
      <c r="AE62" s="473">
        <f t="shared" si="2"/>
        <v>0</v>
      </c>
      <c r="AF62" s="323"/>
      <c r="AG62" s="589" t="e">
        <f>VLOOKUP(B62,'[1]Feature Summary'!$A$7:$U$4028,21,FALSE)</f>
        <v>#N/A</v>
      </c>
      <c r="AH62" s="324"/>
    </row>
    <row r="63" spans="1:34" ht="15.75" thickBot="1" x14ac:dyDescent="0.3">
      <c r="A63" s="330" t="s">
        <v>538</v>
      </c>
      <c r="B63" s="564" t="s">
        <v>539</v>
      </c>
      <c r="C63" s="566" t="s">
        <v>310</v>
      </c>
      <c r="D63" s="570" t="s">
        <v>528</v>
      </c>
      <c r="E63" s="566" t="s">
        <v>540</v>
      </c>
      <c r="F63" s="564" t="s">
        <v>541</v>
      </c>
      <c r="G63" s="575" t="e">
        <f>VLOOKUP(A63,'[1]Feature Summary'!$A$7:$C$4028,3,FALSE)</f>
        <v>#N/A</v>
      </c>
      <c r="H63" s="564" t="s">
        <v>542</v>
      </c>
      <c r="I63" s="437" t="s">
        <v>315</v>
      </c>
      <c r="J63" s="564" t="s">
        <v>543</v>
      </c>
      <c r="K63" s="577">
        <v>1</v>
      </c>
      <c r="L63" s="579">
        <v>14</v>
      </c>
      <c r="M63" s="581" t="s">
        <v>39</v>
      </c>
      <c r="N63" s="584">
        <v>1</v>
      </c>
      <c r="O63" s="579">
        <v>14</v>
      </c>
      <c r="P63" s="585">
        <v>1</v>
      </c>
      <c r="Q63" s="587" t="s">
        <v>38</v>
      </c>
      <c r="R63" s="579">
        <v>14</v>
      </c>
      <c r="S63" s="579">
        <v>14</v>
      </c>
      <c r="T63" s="579">
        <v>14</v>
      </c>
      <c r="U63" s="472"/>
      <c r="V63" s="472"/>
      <c r="W63" s="472"/>
      <c r="X63" s="483">
        <f t="shared" si="1"/>
        <v>1</v>
      </c>
      <c r="Y63" s="440"/>
      <c r="Z63" s="471"/>
      <c r="AA63" s="472"/>
      <c r="AB63" s="472"/>
      <c r="AC63" s="472"/>
      <c r="AD63" s="472"/>
      <c r="AE63" s="473">
        <f t="shared" si="2"/>
        <v>0</v>
      </c>
      <c r="AF63" s="323"/>
      <c r="AG63" s="589" t="e">
        <f>VLOOKUP(B63,'[1]Feature Summary'!$A$7:$U$4028,21,FALSE)</f>
        <v>#N/A</v>
      </c>
      <c r="AH63" s="324"/>
    </row>
    <row r="64" spans="1:34" ht="15.75" thickBot="1" x14ac:dyDescent="0.3">
      <c r="A64" s="330" t="s">
        <v>544</v>
      </c>
      <c r="B64" s="564" t="s">
        <v>545</v>
      </c>
      <c r="C64" s="566" t="s">
        <v>310</v>
      </c>
      <c r="D64" s="570" t="s">
        <v>528</v>
      </c>
      <c r="E64" s="566" t="s">
        <v>540</v>
      </c>
      <c r="F64" s="564" t="s">
        <v>546</v>
      </c>
      <c r="G64" s="575" t="e">
        <f>VLOOKUP(A64,'[1]Feature Summary'!$A$7:$C$4028,3,FALSE)</f>
        <v>#N/A</v>
      </c>
      <c r="H64" s="564" t="s">
        <v>542</v>
      </c>
      <c r="I64" s="437" t="s">
        <v>315</v>
      </c>
      <c r="J64" s="564" t="s">
        <v>543</v>
      </c>
      <c r="K64" s="577">
        <v>1</v>
      </c>
      <c r="L64" s="579">
        <v>14</v>
      </c>
      <c r="M64" s="581" t="s">
        <v>39</v>
      </c>
      <c r="N64" s="584">
        <v>1</v>
      </c>
      <c r="O64" s="579">
        <v>14</v>
      </c>
      <c r="P64" s="585">
        <v>1</v>
      </c>
      <c r="Q64" s="587" t="s">
        <v>38</v>
      </c>
      <c r="R64" s="579">
        <v>14</v>
      </c>
      <c r="S64" s="579">
        <v>14</v>
      </c>
      <c r="T64" s="579">
        <v>14</v>
      </c>
      <c r="U64" s="472"/>
      <c r="V64" s="472"/>
      <c r="W64" s="472"/>
      <c r="X64" s="483">
        <f t="shared" si="1"/>
        <v>1</v>
      </c>
      <c r="Y64" s="440"/>
      <c r="Z64" s="471"/>
      <c r="AA64" s="472"/>
      <c r="AB64" s="472"/>
      <c r="AC64" s="472"/>
      <c r="AD64" s="472"/>
      <c r="AE64" s="473">
        <f t="shared" si="2"/>
        <v>0</v>
      </c>
      <c r="AF64" s="323"/>
      <c r="AG64" s="589" t="e">
        <f>VLOOKUP(B64,'[1]Feature Summary'!$A$7:$U$4028,21,FALSE)</f>
        <v>#N/A</v>
      </c>
      <c r="AH64" s="324"/>
    </row>
    <row r="65" spans="1:34" ht="15.75" thickBot="1" x14ac:dyDescent="0.3">
      <c r="A65" s="330" t="s">
        <v>547</v>
      </c>
      <c r="B65" s="564" t="s">
        <v>548</v>
      </c>
      <c r="C65" s="566" t="s">
        <v>310</v>
      </c>
      <c r="D65" s="570" t="s">
        <v>528</v>
      </c>
      <c r="E65" s="566" t="s">
        <v>549</v>
      </c>
      <c r="F65" s="564" t="s">
        <v>550</v>
      </c>
      <c r="G65" s="575" t="e">
        <f>VLOOKUP(A65,'[1]Feature Summary'!$A$7:$C$4028,3,FALSE)</f>
        <v>#N/A</v>
      </c>
      <c r="H65" s="564" t="s">
        <v>551</v>
      </c>
      <c r="I65" s="437" t="s">
        <v>35</v>
      </c>
      <c r="J65" s="564"/>
      <c r="K65" s="577">
        <v>1</v>
      </c>
      <c r="L65" s="579">
        <v>6</v>
      </c>
      <c r="M65" s="581" t="s">
        <v>39</v>
      </c>
      <c r="N65" s="584">
        <v>1</v>
      </c>
      <c r="O65" s="579">
        <v>6</v>
      </c>
      <c r="P65" s="585">
        <v>1</v>
      </c>
      <c r="Q65" s="587" t="s">
        <v>38</v>
      </c>
      <c r="R65" s="579">
        <v>6</v>
      </c>
      <c r="S65" s="579">
        <v>6</v>
      </c>
      <c r="T65" s="579">
        <v>6</v>
      </c>
      <c r="U65" s="472"/>
      <c r="V65" s="472"/>
      <c r="W65" s="472"/>
      <c r="X65" s="483">
        <f t="shared" si="1"/>
        <v>1</v>
      </c>
      <c r="Y65" s="440"/>
      <c r="Z65" s="471"/>
      <c r="AA65" s="472"/>
      <c r="AB65" s="472"/>
      <c r="AC65" s="472"/>
      <c r="AD65" s="472"/>
      <c r="AE65" s="473">
        <f t="shared" si="2"/>
        <v>0</v>
      </c>
      <c r="AF65" s="323"/>
      <c r="AG65" s="589" t="e">
        <f>VLOOKUP(B65,'[1]Feature Summary'!$A$7:$U$4028,21,FALSE)</f>
        <v>#N/A</v>
      </c>
      <c r="AH65" s="324"/>
    </row>
    <row r="66" spans="1:34" ht="15.75" thickBot="1" x14ac:dyDescent="0.3">
      <c r="A66" s="330" t="s">
        <v>552</v>
      </c>
      <c r="B66" s="564" t="s">
        <v>553</v>
      </c>
      <c r="C66" s="566" t="s">
        <v>310</v>
      </c>
      <c r="D66" s="570" t="s">
        <v>528</v>
      </c>
      <c r="E66" s="566" t="s">
        <v>554</v>
      </c>
      <c r="F66" s="564" t="s">
        <v>555</v>
      </c>
      <c r="G66" s="575" t="e">
        <f>VLOOKUP(A66,'[1]Feature Summary'!$A$7:$C$4028,3,FALSE)</f>
        <v>#N/A</v>
      </c>
      <c r="H66" s="564" t="s">
        <v>556</v>
      </c>
      <c r="I66" s="437" t="s">
        <v>35</v>
      </c>
      <c r="J66" s="564" t="s">
        <v>557</v>
      </c>
      <c r="K66" s="577">
        <v>1</v>
      </c>
      <c r="L66" s="579">
        <v>6</v>
      </c>
      <c r="M66" s="581" t="s">
        <v>39</v>
      </c>
      <c r="N66" s="584">
        <v>1</v>
      </c>
      <c r="O66" s="579">
        <v>6</v>
      </c>
      <c r="P66" s="585">
        <v>1</v>
      </c>
      <c r="Q66" s="587" t="s">
        <v>38</v>
      </c>
      <c r="R66" s="579">
        <v>6</v>
      </c>
      <c r="S66" s="579">
        <v>6</v>
      </c>
      <c r="T66" s="579">
        <v>6</v>
      </c>
      <c r="U66" s="472"/>
      <c r="V66" s="472"/>
      <c r="W66" s="472"/>
      <c r="X66" s="483">
        <f t="shared" si="1"/>
        <v>1</v>
      </c>
      <c r="Y66" s="440"/>
      <c r="Z66" s="471"/>
      <c r="AA66" s="472"/>
      <c r="AB66" s="472"/>
      <c r="AC66" s="472"/>
      <c r="AD66" s="472"/>
      <c r="AE66" s="473">
        <f t="shared" si="2"/>
        <v>0</v>
      </c>
      <c r="AF66" s="323"/>
      <c r="AG66" s="589" t="e">
        <f>VLOOKUP(B66,'[1]Feature Summary'!$A$7:$U$4028,21,FALSE)</f>
        <v>#N/A</v>
      </c>
      <c r="AH66" s="324"/>
    </row>
    <row r="67" spans="1:34" ht="15.75" thickBot="1" x14ac:dyDescent="0.3">
      <c r="A67" s="330" t="s">
        <v>558</v>
      </c>
      <c r="B67" s="564" t="s">
        <v>559</v>
      </c>
      <c r="C67" s="566" t="s">
        <v>310</v>
      </c>
      <c r="D67" s="570" t="s">
        <v>528</v>
      </c>
      <c r="E67" s="566" t="s">
        <v>529</v>
      </c>
      <c r="F67" s="564" t="s">
        <v>530</v>
      </c>
      <c r="G67" s="575" t="e">
        <f>VLOOKUP(A67,'[1]Feature Summary'!$A$7:$C$4028,3,FALSE)</f>
        <v>#N/A</v>
      </c>
      <c r="H67" s="564" t="s">
        <v>531</v>
      </c>
      <c r="I67" s="437" t="s">
        <v>315</v>
      </c>
      <c r="J67" s="564" t="s">
        <v>560</v>
      </c>
      <c r="K67" s="577">
        <v>1</v>
      </c>
      <c r="L67" s="579">
        <v>2</v>
      </c>
      <c r="M67" s="581" t="s">
        <v>39</v>
      </c>
      <c r="N67" s="584">
        <v>1</v>
      </c>
      <c r="O67" s="579">
        <v>2</v>
      </c>
      <c r="P67" s="585">
        <v>1</v>
      </c>
      <c r="Q67" s="587" t="s">
        <v>48</v>
      </c>
      <c r="R67" s="579">
        <v>2</v>
      </c>
      <c r="S67" s="579">
        <v>2</v>
      </c>
      <c r="T67" s="579">
        <v>2</v>
      </c>
      <c r="U67" s="472"/>
      <c r="V67" s="472"/>
      <c r="W67" s="472"/>
      <c r="X67" s="483">
        <f t="shared" si="1"/>
        <v>1</v>
      </c>
      <c r="Y67" s="440"/>
      <c r="Z67" s="471"/>
      <c r="AA67" s="472"/>
      <c r="AB67" s="472"/>
      <c r="AC67" s="472"/>
      <c r="AD67" s="472"/>
      <c r="AE67" s="473">
        <f t="shared" si="2"/>
        <v>0</v>
      </c>
      <c r="AF67" s="323"/>
      <c r="AG67" s="589" t="e">
        <f>VLOOKUP(B67,'[1]Feature Summary'!$A$7:$U$4028,21,FALSE)</f>
        <v>#N/A</v>
      </c>
      <c r="AH67" s="324"/>
    </row>
    <row r="68" spans="1:34" ht="15.75" thickBot="1" x14ac:dyDescent="0.3">
      <c r="A68" s="330" t="s">
        <v>558</v>
      </c>
      <c r="B68" s="564" t="s">
        <v>561</v>
      </c>
      <c r="C68" s="566" t="s">
        <v>310</v>
      </c>
      <c r="D68" s="570" t="s">
        <v>528</v>
      </c>
      <c r="E68" s="566" t="s">
        <v>562</v>
      </c>
      <c r="F68" s="564" t="s">
        <v>563</v>
      </c>
      <c r="G68" s="575" t="s">
        <v>280</v>
      </c>
      <c r="H68" s="564" t="s">
        <v>564</v>
      </c>
      <c r="I68" s="437" t="s">
        <v>315</v>
      </c>
      <c r="J68" s="564" t="s">
        <v>565</v>
      </c>
      <c r="K68" s="577">
        <v>1</v>
      </c>
      <c r="L68" s="579">
        <v>20</v>
      </c>
      <c r="M68" s="581" t="s">
        <v>39</v>
      </c>
      <c r="N68" s="584">
        <v>1</v>
      </c>
      <c r="O68" s="579">
        <v>20</v>
      </c>
      <c r="P68" s="585">
        <v>1</v>
      </c>
      <c r="Q68" s="587" t="s">
        <v>38</v>
      </c>
      <c r="R68" s="579">
        <v>20</v>
      </c>
      <c r="S68" s="579">
        <v>20</v>
      </c>
      <c r="T68" s="579">
        <v>20</v>
      </c>
      <c r="U68" s="472"/>
      <c r="V68" s="472"/>
      <c r="W68" s="472"/>
      <c r="X68" s="483">
        <f t="shared" si="1"/>
        <v>1</v>
      </c>
      <c r="Y68" s="440"/>
      <c r="Z68" s="471"/>
      <c r="AA68" s="472"/>
      <c r="AB68" s="472"/>
      <c r="AC68" s="472"/>
      <c r="AD68" s="472"/>
      <c r="AE68" s="473">
        <f t="shared" si="2"/>
        <v>0</v>
      </c>
      <c r="AF68" s="323"/>
      <c r="AG68" s="589" t="s">
        <v>566</v>
      </c>
      <c r="AH68" s="324"/>
    </row>
    <row r="69" spans="1:34" ht="15.75" hidden="1" thickBot="1" x14ac:dyDescent="0.3">
      <c r="A69" s="330" t="s">
        <v>567</v>
      </c>
      <c r="B69" s="564" t="s">
        <v>568</v>
      </c>
      <c r="C69" s="566" t="s">
        <v>310</v>
      </c>
      <c r="D69" s="570" t="s">
        <v>528</v>
      </c>
      <c r="E69" s="566" t="s">
        <v>312</v>
      </c>
      <c r="F69" s="564" t="s">
        <v>312</v>
      </c>
      <c r="G69" s="575" t="e">
        <f>VLOOKUP(A69,'[1]Feature Summary'!$A$7:$C$4028,3,FALSE)</f>
        <v>#N/A</v>
      </c>
      <c r="H69" s="564" t="s">
        <v>312</v>
      </c>
      <c r="I69" s="437" t="s">
        <v>315</v>
      </c>
      <c r="J69" s="564" t="s">
        <v>312</v>
      </c>
      <c r="K69" s="577">
        <v>1</v>
      </c>
      <c r="L69" s="579">
        <v>1</v>
      </c>
      <c r="M69" s="581" t="s">
        <v>33</v>
      </c>
      <c r="N69" s="584">
        <v>1</v>
      </c>
      <c r="O69" s="579">
        <v>1</v>
      </c>
      <c r="P69" s="585">
        <v>1</v>
      </c>
      <c r="Q69" s="587" t="s">
        <v>48</v>
      </c>
      <c r="R69" s="579">
        <v>1</v>
      </c>
      <c r="S69" s="579">
        <v>1</v>
      </c>
      <c r="T69" s="579">
        <v>1</v>
      </c>
      <c r="U69" s="472"/>
      <c r="V69" s="472"/>
      <c r="W69" s="472"/>
      <c r="X69" s="483">
        <f t="shared" si="1"/>
        <v>1</v>
      </c>
      <c r="Y69" s="440"/>
      <c r="Z69" s="471"/>
      <c r="AA69" s="472"/>
      <c r="AB69" s="472"/>
      <c r="AC69" s="472"/>
      <c r="AD69" s="472"/>
      <c r="AE69" s="473">
        <f t="shared" si="2"/>
        <v>0</v>
      </c>
      <c r="AF69" s="323"/>
      <c r="AG69" s="589" t="e">
        <f>VLOOKUP(B69,'[1]Feature Summary'!$A$7:$U$4028,21,FALSE)</f>
        <v>#N/A</v>
      </c>
      <c r="AH69" s="324"/>
    </row>
    <row r="70" spans="1:34" ht="15.75" hidden="1" thickBot="1" x14ac:dyDescent="0.3">
      <c r="A70" s="330" t="s">
        <v>569</v>
      </c>
      <c r="B70" s="564" t="s">
        <v>570</v>
      </c>
      <c r="C70" s="566" t="s">
        <v>310</v>
      </c>
      <c r="D70" s="570" t="s">
        <v>528</v>
      </c>
      <c r="E70" s="566" t="s">
        <v>571</v>
      </c>
      <c r="F70" s="564" t="s">
        <v>572</v>
      </c>
      <c r="G70" s="575" t="e">
        <f>VLOOKUP(A70,'[1]Feature Summary'!$A$7:$C$4028,3,FALSE)</f>
        <v>#N/A</v>
      </c>
      <c r="H70" s="564"/>
      <c r="I70" s="437" t="s">
        <v>315</v>
      </c>
      <c r="J70" s="564"/>
      <c r="K70" s="577">
        <v>1</v>
      </c>
      <c r="L70" s="579">
        <v>1</v>
      </c>
      <c r="M70" s="581" t="s">
        <v>33</v>
      </c>
      <c r="N70" s="584">
        <v>1</v>
      </c>
      <c r="O70" s="579">
        <v>1</v>
      </c>
      <c r="P70" s="585">
        <v>1</v>
      </c>
      <c r="Q70" s="587" t="s">
        <v>48</v>
      </c>
      <c r="R70" s="579">
        <v>1</v>
      </c>
      <c r="S70" s="579">
        <v>1</v>
      </c>
      <c r="T70" s="579">
        <v>1</v>
      </c>
      <c r="U70" s="472"/>
      <c r="V70" s="472"/>
      <c r="W70" s="472"/>
      <c r="X70" s="483">
        <f t="shared" ref="X70:X133" si="3">IF((S70=0),0,((T70+U70)/S70*100%))</f>
        <v>1</v>
      </c>
      <c r="Y70" s="440"/>
      <c r="Z70" s="471"/>
      <c r="AA70" s="472"/>
      <c r="AB70" s="472"/>
      <c r="AC70" s="472"/>
      <c r="AD70" s="472"/>
      <c r="AE70" s="473">
        <f t="shared" si="2"/>
        <v>0</v>
      </c>
      <c r="AF70" s="323"/>
      <c r="AG70" s="589" t="e">
        <f>VLOOKUP(B70,'[1]Feature Summary'!$A$7:$U$4028,21,FALSE)</f>
        <v>#N/A</v>
      </c>
      <c r="AH70" s="324"/>
    </row>
    <row r="71" spans="1:34" ht="15.75" thickBot="1" x14ac:dyDescent="0.3">
      <c r="A71" s="330" t="s">
        <v>573</v>
      </c>
      <c r="B71" s="564" t="s">
        <v>574</v>
      </c>
      <c r="C71" s="566" t="s">
        <v>310</v>
      </c>
      <c r="D71" s="570" t="s">
        <v>528</v>
      </c>
      <c r="E71" s="566" t="s">
        <v>575</v>
      </c>
      <c r="F71" s="564" t="s">
        <v>576</v>
      </c>
      <c r="G71" s="575" t="e">
        <f>VLOOKUP(A71,'[1]Feature Summary'!$A$7:$C$4028,3,FALSE)</f>
        <v>#N/A</v>
      </c>
      <c r="H71" s="564" t="s">
        <v>577</v>
      </c>
      <c r="I71" s="437" t="s">
        <v>315</v>
      </c>
      <c r="J71" s="564" t="s">
        <v>578</v>
      </c>
      <c r="K71" s="577">
        <v>1</v>
      </c>
      <c r="L71" s="579">
        <v>12</v>
      </c>
      <c r="M71" s="581" t="s">
        <v>39</v>
      </c>
      <c r="N71" s="584">
        <v>1</v>
      </c>
      <c r="O71" s="579">
        <v>12</v>
      </c>
      <c r="P71" s="585">
        <v>1</v>
      </c>
      <c r="Q71" s="587" t="s">
        <v>38</v>
      </c>
      <c r="R71" s="579">
        <v>12</v>
      </c>
      <c r="S71" s="579">
        <v>12</v>
      </c>
      <c r="T71" s="579">
        <v>12</v>
      </c>
      <c r="U71" s="472"/>
      <c r="V71" s="472"/>
      <c r="W71" s="472"/>
      <c r="X71" s="483">
        <f t="shared" si="3"/>
        <v>1</v>
      </c>
      <c r="Y71" s="440"/>
      <c r="Z71" s="471"/>
      <c r="AA71" s="472"/>
      <c r="AB71" s="472"/>
      <c r="AC71" s="472"/>
      <c r="AD71" s="472"/>
      <c r="AE71" s="473">
        <f t="shared" ref="AE71:AE134" si="4">IF((Z71=0),0,((AA71+AB71)/Z71*100%))</f>
        <v>0</v>
      </c>
      <c r="AF71" s="323"/>
      <c r="AG71" s="589" t="e">
        <f>VLOOKUP(B71,'[1]Feature Summary'!$A$7:$U$4028,21,FALSE)</f>
        <v>#N/A</v>
      </c>
      <c r="AH71" s="324"/>
    </row>
    <row r="72" spans="1:34" ht="15.75" thickBot="1" x14ac:dyDescent="0.3">
      <c r="A72" s="330" t="s">
        <v>579</v>
      </c>
      <c r="B72" s="564" t="s">
        <v>580</v>
      </c>
      <c r="C72" s="566" t="s">
        <v>310</v>
      </c>
      <c r="D72" s="570" t="s">
        <v>528</v>
      </c>
      <c r="E72" s="566" t="s">
        <v>581</v>
      </c>
      <c r="F72" s="564" t="s">
        <v>582</v>
      </c>
      <c r="G72" s="575" t="e">
        <f>VLOOKUP(A72,'[1]Feature Summary'!$A$7:$C$4028,3,FALSE)</f>
        <v>#N/A</v>
      </c>
      <c r="H72" s="564" t="s">
        <v>577</v>
      </c>
      <c r="I72" s="437" t="s">
        <v>315</v>
      </c>
      <c r="J72" s="564" t="s">
        <v>543</v>
      </c>
      <c r="K72" s="577">
        <v>1</v>
      </c>
      <c r="L72" s="579">
        <v>12</v>
      </c>
      <c r="M72" s="581" t="s">
        <v>39</v>
      </c>
      <c r="N72" s="584">
        <v>1</v>
      </c>
      <c r="O72" s="579">
        <v>12</v>
      </c>
      <c r="P72" s="585">
        <v>1</v>
      </c>
      <c r="Q72" s="587" t="s">
        <v>38</v>
      </c>
      <c r="R72" s="579">
        <v>12</v>
      </c>
      <c r="S72" s="579">
        <v>12</v>
      </c>
      <c r="T72" s="579">
        <v>12</v>
      </c>
      <c r="U72" s="472"/>
      <c r="V72" s="472"/>
      <c r="W72" s="472"/>
      <c r="X72" s="483">
        <f t="shared" si="3"/>
        <v>1</v>
      </c>
      <c r="Y72" s="440"/>
      <c r="Z72" s="471"/>
      <c r="AA72" s="472"/>
      <c r="AB72" s="472"/>
      <c r="AC72" s="472"/>
      <c r="AD72" s="472"/>
      <c r="AE72" s="473">
        <f t="shared" si="4"/>
        <v>0</v>
      </c>
      <c r="AF72" s="323"/>
      <c r="AG72" s="589" t="e">
        <f>VLOOKUP(B72,'[1]Feature Summary'!$A$7:$U$4028,21,FALSE)</f>
        <v>#N/A</v>
      </c>
      <c r="AH72" s="324"/>
    </row>
    <row r="73" spans="1:34" ht="15.75" hidden="1" thickBot="1" x14ac:dyDescent="0.3">
      <c r="A73" s="330" t="s">
        <v>583</v>
      </c>
      <c r="B73" s="564" t="s">
        <v>584</v>
      </c>
      <c r="C73" s="566" t="s">
        <v>310</v>
      </c>
      <c r="D73" s="570" t="s">
        <v>528</v>
      </c>
      <c r="E73" s="566" t="s">
        <v>585</v>
      </c>
      <c r="F73" s="564" t="s">
        <v>586</v>
      </c>
      <c r="G73" s="575" t="e">
        <f>VLOOKUP(A73,'[1]Feature Summary'!$A$7:$C$4028,3,FALSE)</f>
        <v>#N/A</v>
      </c>
      <c r="H73" s="564" t="s">
        <v>47</v>
      </c>
      <c r="I73" s="437" t="s">
        <v>315</v>
      </c>
      <c r="J73" s="564" t="s">
        <v>47</v>
      </c>
      <c r="K73" s="577">
        <v>1</v>
      </c>
      <c r="L73" s="579">
        <v>1</v>
      </c>
      <c r="M73" s="581" t="s">
        <v>39</v>
      </c>
      <c r="N73" s="584">
        <v>1</v>
      </c>
      <c r="O73" s="579">
        <v>1</v>
      </c>
      <c r="P73" s="585">
        <v>1</v>
      </c>
      <c r="Q73" s="587" t="s">
        <v>48</v>
      </c>
      <c r="R73" s="579">
        <v>1</v>
      </c>
      <c r="S73" s="579">
        <v>1</v>
      </c>
      <c r="T73" s="579">
        <v>1</v>
      </c>
      <c r="U73" s="472"/>
      <c r="V73" s="472"/>
      <c r="W73" s="472"/>
      <c r="X73" s="483">
        <f t="shared" si="3"/>
        <v>1</v>
      </c>
      <c r="Y73" s="440"/>
      <c r="Z73" s="471"/>
      <c r="AA73" s="472"/>
      <c r="AB73" s="472"/>
      <c r="AC73" s="472"/>
      <c r="AD73" s="472"/>
      <c r="AE73" s="473">
        <f t="shared" si="4"/>
        <v>0</v>
      </c>
      <c r="AF73" s="323"/>
      <c r="AG73" s="589" t="e">
        <f>VLOOKUP(B73,'[1]Feature Summary'!$A$7:$U$4028,21,FALSE)</f>
        <v>#N/A</v>
      </c>
      <c r="AH73" s="324"/>
    </row>
    <row r="74" spans="1:34" ht="15.75" thickBot="1" x14ac:dyDescent="0.3">
      <c r="A74" s="330" t="s">
        <v>587</v>
      </c>
      <c r="B74" s="564" t="s">
        <v>588</v>
      </c>
      <c r="C74" s="566" t="s">
        <v>310</v>
      </c>
      <c r="D74" s="570" t="s">
        <v>528</v>
      </c>
      <c r="E74" s="566" t="s">
        <v>589</v>
      </c>
      <c r="F74" s="564" t="s">
        <v>590</v>
      </c>
      <c r="G74" s="575" t="e">
        <f>VLOOKUP(A74,'[1]Feature Summary'!$A$7:$C$4028,3,FALSE)</f>
        <v>#N/A</v>
      </c>
      <c r="H74" s="564" t="s">
        <v>591</v>
      </c>
      <c r="I74" s="437" t="s">
        <v>315</v>
      </c>
      <c r="J74" s="564" t="s">
        <v>47</v>
      </c>
      <c r="K74" s="577">
        <v>1</v>
      </c>
      <c r="L74" s="579">
        <v>8</v>
      </c>
      <c r="M74" s="581" t="s">
        <v>39</v>
      </c>
      <c r="N74" s="584">
        <v>1</v>
      </c>
      <c r="O74" s="579">
        <v>8</v>
      </c>
      <c r="P74" s="585">
        <v>1</v>
      </c>
      <c r="Q74" s="587" t="s">
        <v>48</v>
      </c>
      <c r="R74" s="579">
        <v>8</v>
      </c>
      <c r="S74" s="579">
        <v>8</v>
      </c>
      <c r="T74" s="579">
        <v>8</v>
      </c>
      <c r="U74" s="472"/>
      <c r="V74" s="472"/>
      <c r="W74" s="472"/>
      <c r="X74" s="483">
        <f t="shared" si="3"/>
        <v>1</v>
      </c>
      <c r="Y74" s="440"/>
      <c r="Z74" s="471"/>
      <c r="AA74" s="472"/>
      <c r="AB74" s="472"/>
      <c r="AC74" s="472"/>
      <c r="AD74" s="472"/>
      <c r="AE74" s="473">
        <f t="shared" si="4"/>
        <v>0</v>
      </c>
      <c r="AF74" s="323"/>
      <c r="AG74" s="589" t="e">
        <f>VLOOKUP(B74,'[1]Feature Summary'!$A$7:$U$4028,21,FALSE)</f>
        <v>#N/A</v>
      </c>
      <c r="AH74" s="324"/>
    </row>
    <row r="75" spans="1:34" ht="15.75" thickBot="1" x14ac:dyDescent="0.3">
      <c r="A75" s="330" t="s">
        <v>592</v>
      </c>
      <c r="B75" s="564" t="s">
        <v>593</v>
      </c>
      <c r="C75" s="566" t="s">
        <v>310</v>
      </c>
      <c r="D75" s="570" t="s">
        <v>594</v>
      </c>
      <c r="E75" s="566" t="s">
        <v>413</v>
      </c>
      <c r="F75" s="564" t="s">
        <v>593</v>
      </c>
      <c r="G75" s="575" t="e">
        <f>VLOOKUP(A75,'[1]Feature Summary'!$A$7:$C$4028,3,FALSE)</f>
        <v>#N/A</v>
      </c>
      <c r="H75" s="564" t="s">
        <v>414</v>
      </c>
      <c r="I75" s="437" t="s">
        <v>315</v>
      </c>
      <c r="J75" s="564" t="s">
        <v>359</v>
      </c>
      <c r="K75" s="577">
        <v>1</v>
      </c>
      <c r="L75" s="579">
        <v>2</v>
      </c>
      <c r="M75" s="581" t="s">
        <v>39</v>
      </c>
      <c r="N75" s="584">
        <v>1</v>
      </c>
      <c r="O75" s="579">
        <v>2</v>
      </c>
      <c r="P75" s="585">
        <v>1</v>
      </c>
      <c r="Q75" s="587" t="s">
        <v>38</v>
      </c>
      <c r="R75" s="579">
        <v>2</v>
      </c>
      <c r="S75" s="579">
        <v>2</v>
      </c>
      <c r="T75" s="579">
        <v>2</v>
      </c>
      <c r="U75" s="472"/>
      <c r="V75" s="472"/>
      <c r="W75" s="472"/>
      <c r="X75" s="483">
        <f t="shared" si="3"/>
        <v>1</v>
      </c>
      <c r="Y75" s="440"/>
      <c r="Z75" s="471"/>
      <c r="AA75" s="472"/>
      <c r="AB75" s="472"/>
      <c r="AC75" s="472"/>
      <c r="AD75" s="472"/>
      <c r="AE75" s="473">
        <f t="shared" si="4"/>
        <v>0</v>
      </c>
      <c r="AF75" s="323"/>
      <c r="AG75" s="589" t="e">
        <f>VLOOKUP(B75,'[1]Feature Summary'!$A$7:$U$4028,21,FALSE)</f>
        <v>#N/A</v>
      </c>
      <c r="AH75" s="324"/>
    </row>
    <row r="76" spans="1:34" ht="15.75" hidden="1" thickBot="1" x14ac:dyDescent="0.3">
      <c r="A76" s="330" t="s">
        <v>595</v>
      </c>
      <c r="B76" s="564" t="s">
        <v>596</v>
      </c>
      <c r="C76" s="566" t="s">
        <v>310</v>
      </c>
      <c r="D76" s="570" t="s">
        <v>597</v>
      </c>
      <c r="E76" s="566" t="s">
        <v>585</v>
      </c>
      <c r="F76" s="564" t="s">
        <v>598</v>
      </c>
      <c r="G76" s="575" t="e">
        <f>VLOOKUP(A76,'[1]Feature Summary'!$A$7:$C$4028,3,FALSE)</f>
        <v>#N/A</v>
      </c>
      <c r="H76" s="564" t="s">
        <v>47</v>
      </c>
      <c r="I76" s="437" t="s">
        <v>315</v>
      </c>
      <c r="J76" s="564" t="s">
        <v>47</v>
      </c>
      <c r="K76" s="577">
        <v>1</v>
      </c>
      <c r="L76" s="570">
        <v>1</v>
      </c>
      <c r="M76" s="581" t="s">
        <v>33</v>
      </c>
      <c r="N76" s="584">
        <v>1</v>
      </c>
      <c r="O76" s="570">
        <v>1</v>
      </c>
      <c r="P76" s="585">
        <v>1</v>
      </c>
      <c r="Q76" s="587" t="s">
        <v>48</v>
      </c>
      <c r="R76" s="570">
        <v>1</v>
      </c>
      <c r="S76" s="570">
        <v>1</v>
      </c>
      <c r="T76" s="570">
        <v>1</v>
      </c>
      <c r="U76" s="472"/>
      <c r="V76" s="472"/>
      <c r="W76" s="472"/>
      <c r="X76" s="483">
        <f t="shared" si="3"/>
        <v>1</v>
      </c>
      <c r="Y76" s="440"/>
      <c r="Z76" s="471"/>
      <c r="AA76" s="472"/>
      <c r="AB76" s="472"/>
      <c r="AC76" s="472"/>
      <c r="AD76" s="472"/>
      <c r="AE76" s="473">
        <f t="shared" si="4"/>
        <v>0</v>
      </c>
      <c r="AF76" s="323"/>
      <c r="AG76" s="589" t="e">
        <f>VLOOKUP(B76,'[1]Feature Summary'!$A$7:$U$4028,21,FALSE)</f>
        <v>#N/A</v>
      </c>
      <c r="AH76" s="324"/>
    </row>
    <row r="77" spans="1:34" ht="15.75" hidden="1" thickBot="1" x14ac:dyDescent="0.3">
      <c r="A77" s="330" t="s">
        <v>599</v>
      </c>
      <c r="B77" s="564" t="s">
        <v>600</v>
      </c>
      <c r="C77" s="566" t="s">
        <v>310</v>
      </c>
      <c r="D77" s="570" t="s">
        <v>597</v>
      </c>
      <c r="E77" s="566" t="s">
        <v>585</v>
      </c>
      <c r="F77" s="564" t="s">
        <v>601</v>
      </c>
      <c r="G77" s="575" t="e">
        <f>VLOOKUP(A77,'[1]Feature Summary'!$A$7:$C$4028,3,FALSE)</f>
        <v>#N/A</v>
      </c>
      <c r="H77" s="564" t="s">
        <v>47</v>
      </c>
      <c r="I77" s="437" t="s">
        <v>315</v>
      </c>
      <c r="J77" s="564" t="s">
        <v>47</v>
      </c>
      <c r="K77" s="577">
        <v>1</v>
      </c>
      <c r="L77" s="570">
        <v>1</v>
      </c>
      <c r="M77" s="581" t="s">
        <v>33</v>
      </c>
      <c r="N77" s="584">
        <v>1</v>
      </c>
      <c r="O77" s="570">
        <v>1</v>
      </c>
      <c r="P77" s="585">
        <v>1</v>
      </c>
      <c r="Q77" s="587" t="s">
        <v>48</v>
      </c>
      <c r="R77" s="570">
        <v>1</v>
      </c>
      <c r="S77" s="570">
        <v>1</v>
      </c>
      <c r="T77" s="570">
        <v>1</v>
      </c>
      <c r="U77" s="472"/>
      <c r="V77" s="472"/>
      <c r="W77" s="472"/>
      <c r="X77" s="483">
        <f t="shared" si="3"/>
        <v>1</v>
      </c>
      <c r="Y77" s="440"/>
      <c r="Z77" s="471"/>
      <c r="AA77" s="472"/>
      <c r="AB77" s="472"/>
      <c r="AC77" s="472"/>
      <c r="AD77" s="472"/>
      <c r="AE77" s="473">
        <f t="shared" si="4"/>
        <v>0</v>
      </c>
      <c r="AF77" s="323"/>
      <c r="AG77" s="589" t="e">
        <f>VLOOKUP(B77,'[1]Feature Summary'!$A$7:$U$4028,21,FALSE)</f>
        <v>#N/A</v>
      </c>
      <c r="AH77" s="324"/>
    </row>
    <row r="78" spans="1:34" ht="15.75" hidden="1" thickBot="1" x14ac:dyDescent="0.3">
      <c r="A78" s="330" t="s">
        <v>602</v>
      </c>
      <c r="B78" s="564" t="s">
        <v>603</v>
      </c>
      <c r="C78" s="566" t="s">
        <v>310</v>
      </c>
      <c r="D78" s="570" t="s">
        <v>597</v>
      </c>
      <c r="E78" s="566" t="s">
        <v>585</v>
      </c>
      <c r="F78" s="564" t="s">
        <v>604</v>
      </c>
      <c r="G78" s="575" t="e">
        <f>VLOOKUP(A78,'[1]Feature Summary'!$A$7:$C$4028,3,FALSE)</f>
        <v>#N/A</v>
      </c>
      <c r="H78" s="564" t="s">
        <v>47</v>
      </c>
      <c r="I78" s="437" t="s">
        <v>315</v>
      </c>
      <c r="J78" s="564" t="s">
        <v>47</v>
      </c>
      <c r="K78" s="577">
        <v>1</v>
      </c>
      <c r="L78" s="570">
        <v>1</v>
      </c>
      <c r="M78" s="581" t="s">
        <v>39</v>
      </c>
      <c r="N78" s="584">
        <v>1</v>
      </c>
      <c r="O78" s="570">
        <v>1</v>
      </c>
      <c r="P78" s="585">
        <v>1</v>
      </c>
      <c r="Q78" s="587" t="s">
        <v>48</v>
      </c>
      <c r="R78" s="570">
        <v>1</v>
      </c>
      <c r="S78" s="570">
        <v>1</v>
      </c>
      <c r="T78" s="570">
        <v>1</v>
      </c>
      <c r="U78" s="472"/>
      <c r="V78" s="472"/>
      <c r="W78" s="472"/>
      <c r="X78" s="483">
        <f t="shared" si="3"/>
        <v>1</v>
      </c>
      <c r="Y78" s="440"/>
      <c r="Z78" s="471"/>
      <c r="AA78" s="472"/>
      <c r="AB78" s="472"/>
      <c r="AC78" s="472"/>
      <c r="AD78" s="472"/>
      <c r="AE78" s="473">
        <f t="shared" si="4"/>
        <v>0</v>
      </c>
      <c r="AF78" s="323"/>
      <c r="AG78" s="589" t="e">
        <f>VLOOKUP(B78,'[1]Feature Summary'!$A$7:$U$4028,21,FALSE)</f>
        <v>#N/A</v>
      </c>
      <c r="AH78" s="324"/>
    </row>
    <row r="79" spans="1:34" ht="15.75" thickBot="1" x14ac:dyDescent="0.3">
      <c r="A79" s="330" t="s">
        <v>605</v>
      </c>
      <c r="B79" s="564" t="s">
        <v>606</v>
      </c>
      <c r="C79" s="566" t="s">
        <v>310</v>
      </c>
      <c r="D79" s="570" t="s">
        <v>597</v>
      </c>
      <c r="E79" s="566" t="s">
        <v>607</v>
      </c>
      <c r="F79" s="564" t="s">
        <v>606</v>
      </c>
      <c r="G79" s="575" t="e">
        <f>VLOOKUP(A79,'[1]Feature Summary'!$A$7:$C$4028,3,FALSE)</f>
        <v>#N/A</v>
      </c>
      <c r="H79" s="564" t="s">
        <v>608</v>
      </c>
      <c r="I79" s="437" t="s">
        <v>315</v>
      </c>
      <c r="J79" s="564" t="s">
        <v>359</v>
      </c>
      <c r="K79" s="577">
        <v>1</v>
      </c>
      <c r="L79" s="579">
        <v>6</v>
      </c>
      <c r="M79" s="581" t="s">
        <v>39</v>
      </c>
      <c r="N79" s="584">
        <v>1</v>
      </c>
      <c r="O79" s="579">
        <v>6</v>
      </c>
      <c r="P79" s="585">
        <v>1</v>
      </c>
      <c r="Q79" s="587" t="s">
        <v>38</v>
      </c>
      <c r="R79" s="579">
        <v>6</v>
      </c>
      <c r="S79" s="579">
        <v>6</v>
      </c>
      <c r="T79" s="579">
        <v>6</v>
      </c>
      <c r="U79" s="472"/>
      <c r="V79" s="472"/>
      <c r="W79" s="472"/>
      <c r="X79" s="483">
        <f t="shared" si="3"/>
        <v>1</v>
      </c>
      <c r="Y79" s="440"/>
      <c r="Z79" s="471"/>
      <c r="AA79" s="472"/>
      <c r="AB79" s="472"/>
      <c r="AC79" s="472"/>
      <c r="AD79" s="472"/>
      <c r="AE79" s="473">
        <f t="shared" si="4"/>
        <v>0</v>
      </c>
      <c r="AF79" s="323"/>
      <c r="AG79" s="589" t="e">
        <f>VLOOKUP(B79,'[1]Feature Summary'!$A$7:$U$4028,21,FALSE)</f>
        <v>#N/A</v>
      </c>
      <c r="AH79" s="324"/>
    </row>
    <row r="80" spans="1:34" ht="15.75" thickBot="1" x14ac:dyDescent="0.3">
      <c r="A80" s="330" t="s">
        <v>609</v>
      </c>
      <c r="B80" s="564" t="s">
        <v>610</v>
      </c>
      <c r="C80" s="566" t="s">
        <v>310</v>
      </c>
      <c r="D80" s="570" t="s">
        <v>611</v>
      </c>
      <c r="E80" s="566" t="s">
        <v>612</v>
      </c>
      <c r="F80" s="564" t="s">
        <v>613</v>
      </c>
      <c r="G80" s="575" t="e">
        <f>VLOOKUP(A80,'[1]Feature Summary'!$A$7:$C$4028,3,FALSE)</f>
        <v>#N/A</v>
      </c>
      <c r="H80" s="564" t="s">
        <v>614</v>
      </c>
      <c r="I80" s="437" t="s">
        <v>315</v>
      </c>
      <c r="J80" s="564" t="s">
        <v>359</v>
      </c>
      <c r="K80" s="577">
        <v>1</v>
      </c>
      <c r="L80" s="579">
        <v>2</v>
      </c>
      <c r="M80" s="581" t="s">
        <v>39</v>
      </c>
      <c r="N80" s="584">
        <v>1</v>
      </c>
      <c r="O80" s="579">
        <v>2</v>
      </c>
      <c r="P80" s="585">
        <v>1</v>
      </c>
      <c r="Q80" s="587" t="s">
        <v>38</v>
      </c>
      <c r="R80" s="579">
        <v>2</v>
      </c>
      <c r="S80" s="579">
        <v>2</v>
      </c>
      <c r="T80" s="579">
        <v>2</v>
      </c>
      <c r="U80" s="472"/>
      <c r="V80" s="472"/>
      <c r="W80" s="472"/>
      <c r="X80" s="483">
        <f t="shared" si="3"/>
        <v>1</v>
      </c>
      <c r="Y80" s="440"/>
      <c r="Z80" s="471"/>
      <c r="AA80" s="472"/>
      <c r="AB80" s="472"/>
      <c r="AC80" s="472"/>
      <c r="AD80" s="472"/>
      <c r="AE80" s="473">
        <f t="shared" si="4"/>
        <v>0</v>
      </c>
      <c r="AF80" s="323"/>
      <c r="AG80" s="589" t="e">
        <f>VLOOKUP(B80,'[1]Feature Summary'!$A$7:$U$4028,21,FALSE)</f>
        <v>#N/A</v>
      </c>
      <c r="AH80" s="324"/>
    </row>
    <row r="81" spans="1:34" ht="15.75" thickBot="1" x14ac:dyDescent="0.3">
      <c r="A81" s="330" t="s">
        <v>609</v>
      </c>
      <c r="B81" s="564" t="s">
        <v>610</v>
      </c>
      <c r="C81" s="566" t="s">
        <v>310</v>
      </c>
      <c r="D81" s="570" t="s">
        <v>611</v>
      </c>
      <c r="E81" s="566" t="s">
        <v>612</v>
      </c>
      <c r="F81" s="564" t="s">
        <v>615</v>
      </c>
      <c r="G81" s="575" t="e">
        <f>VLOOKUP(A81,'[1]Feature Summary'!$A$7:$C$4028,3,FALSE)</f>
        <v>#N/A</v>
      </c>
      <c r="H81" s="564" t="s">
        <v>616</v>
      </c>
      <c r="I81" s="437" t="s">
        <v>315</v>
      </c>
      <c r="J81" s="564" t="s">
        <v>359</v>
      </c>
      <c r="K81" s="577">
        <v>1</v>
      </c>
      <c r="L81" s="579">
        <v>2</v>
      </c>
      <c r="M81" s="581" t="s">
        <v>39</v>
      </c>
      <c r="N81" s="584">
        <v>1</v>
      </c>
      <c r="O81" s="579">
        <v>2</v>
      </c>
      <c r="P81" s="585">
        <v>1</v>
      </c>
      <c r="Q81" s="587" t="s">
        <v>38</v>
      </c>
      <c r="R81" s="579">
        <v>2</v>
      </c>
      <c r="S81" s="579">
        <v>2</v>
      </c>
      <c r="T81" s="579">
        <v>2</v>
      </c>
      <c r="U81" s="472"/>
      <c r="V81" s="472"/>
      <c r="W81" s="472"/>
      <c r="X81" s="483">
        <f t="shared" si="3"/>
        <v>1</v>
      </c>
      <c r="Y81" s="440"/>
      <c r="Z81" s="471"/>
      <c r="AA81" s="472"/>
      <c r="AB81" s="472"/>
      <c r="AC81" s="472"/>
      <c r="AD81" s="472"/>
      <c r="AE81" s="473">
        <f t="shared" si="4"/>
        <v>0</v>
      </c>
      <c r="AF81" s="323"/>
      <c r="AG81" s="589" t="e">
        <f>VLOOKUP(B81,'[1]Feature Summary'!$A$7:$U$4028,21,FALSE)</f>
        <v>#N/A</v>
      </c>
      <c r="AH81" s="324"/>
    </row>
    <row r="82" spans="1:34" ht="15.75" thickBot="1" x14ac:dyDescent="0.3">
      <c r="A82" s="330" t="s">
        <v>609</v>
      </c>
      <c r="B82" s="564" t="s">
        <v>610</v>
      </c>
      <c r="C82" s="566" t="s">
        <v>310</v>
      </c>
      <c r="D82" s="570" t="s">
        <v>611</v>
      </c>
      <c r="E82" s="566" t="s">
        <v>612</v>
      </c>
      <c r="F82" s="564" t="s">
        <v>617</v>
      </c>
      <c r="G82" s="575" t="e">
        <f>VLOOKUP(A82,'[1]Feature Summary'!$A$7:$C$4028,3,FALSE)</f>
        <v>#N/A</v>
      </c>
      <c r="H82" s="564" t="s">
        <v>618</v>
      </c>
      <c r="I82" s="437" t="s">
        <v>315</v>
      </c>
      <c r="J82" s="564" t="s">
        <v>359</v>
      </c>
      <c r="K82" s="577">
        <v>1</v>
      </c>
      <c r="L82" s="579">
        <v>2</v>
      </c>
      <c r="M82" s="581" t="s">
        <v>39</v>
      </c>
      <c r="N82" s="584">
        <v>1</v>
      </c>
      <c r="O82" s="579">
        <v>2</v>
      </c>
      <c r="P82" s="585">
        <v>1</v>
      </c>
      <c r="Q82" s="587" t="s">
        <v>38</v>
      </c>
      <c r="R82" s="579">
        <v>2</v>
      </c>
      <c r="S82" s="579">
        <v>2</v>
      </c>
      <c r="T82" s="579">
        <v>2</v>
      </c>
      <c r="U82" s="472"/>
      <c r="V82" s="472"/>
      <c r="W82" s="472"/>
      <c r="X82" s="483">
        <f t="shared" si="3"/>
        <v>1</v>
      </c>
      <c r="Y82" s="440"/>
      <c r="Z82" s="471"/>
      <c r="AA82" s="472"/>
      <c r="AB82" s="472"/>
      <c r="AC82" s="472"/>
      <c r="AD82" s="472"/>
      <c r="AE82" s="473">
        <f t="shared" si="4"/>
        <v>0</v>
      </c>
      <c r="AF82" s="323"/>
      <c r="AG82" s="589" t="e">
        <f>VLOOKUP(B82,'[1]Feature Summary'!$A$7:$U$4028,21,FALSE)</f>
        <v>#N/A</v>
      </c>
      <c r="AH82" s="324"/>
    </row>
    <row r="83" spans="1:34" ht="15.75" thickBot="1" x14ac:dyDescent="0.3">
      <c r="A83" s="330" t="s">
        <v>609</v>
      </c>
      <c r="B83" s="564" t="s">
        <v>610</v>
      </c>
      <c r="C83" s="566" t="s">
        <v>310</v>
      </c>
      <c r="D83" s="570" t="s">
        <v>611</v>
      </c>
      <c r="E83" s="566" t="s">
        <v>612</v>
      </c>
      <c r="F83" s="564" t="s">
        <v>619</v>
      </c>
      <c r="G83" s="575" t="e">
        <f>VLOOKUP(A83,'[1]Feature Summary'!$A$7:$C$4028,3,FALSE)</f>
        <v>#N/A</v>
      </c>
      <c r="H83" s="564" t="s">
        <v>620</v>
      </c>
      <c r="I83" s="437" t="s">
        <v>315</v>
      </c>
      <c r="J83" s="564" t="s">
        <v>359</v>
      </c>
      <c r="K83" s="577">
        <v>1</v>
      </c>
      <c r="L83" s="579">
        <v>2</v>
      </c>
      <c r="M83" s="581" t="s">
        <v>39</v>
      </c>
      <c r="N83" s="584">
        <v>1</v>
      </c>
      <c r="O83" s="579">
        <v>2</v>
      </c>
      <c r="P83" s="585">
        <v>1</v>
      </c>
      <c r="Q83" s="587" t="s">
        <v>38</v>
      </c>
      <c r="R83" s="579">
        <v>2</v>
      </c>
      <c r="S83" s="579">
        <v>2</v>
      </c>
      <c r="T83" s="579">
        <v>2</v>
      </c>
      <c r="U83" s="472"/>
      <c r="V83" s="472"/>
      <c r="W83" s="472"/>
      <c r="X83" s="483">
        <f t="shared" si="3"/>
        <v>1</v>
      </c>
      <c r="Y83" s="440"/>
      <c r="Z83" s="471"/>
      <c r="AA83" s="472"/>
      <c r="AB83" s="472"/>
      <c r="AC83" s="472"/>
      <c r="AD83" s="472"/>
      <c r="AE83" s="473">
        <f t="shared" si="4"/>
        <v>0</v>
      </c>
      <c r="AF83" s="323"/>
      <c r="AG83" s="589" t="e">
        <f>VLOOKUP(B83,'[1]Feature Summary'!$A$7:$U$4028,21,FALSE)</f>
        <v>#N/A</v>
      </c>
      <c r="AH83" s="324"/>
    </row>
    <row r="84" spans="1:34" ht="15.75" thickBot="1" x14ac:dyDescent="0.3">
      <c r="A84" s="330" t="s">
        <v>621</v>
      </c>
      <c r="B84" s="564" t="s">
        <v>622</v>
      </c>
      <c r="C84" s="566" t="s">
        <v>310</v>
      </c>
      <c r="D84" s="570" t="s">
        <v>623</v>
      </c>
      <c r="E84" s="566" t="s">
        <v>624</v>
      </c>
      <c r="F84" s="564" t="s">
        <v>625</v>
      </c>
      <c r="G84" s="575" t="e">
        <f>VLOOKUP(A84,'[1]Feature Summary'!$A$7:$C$4028,3,FALSE)</f>
        <v>#N/A</v>
      </c>
      <c r="H84" s="564" t="s">
        <v>626</v>
      </c>
      <c r="I84" s="437" t="s">
        <v>315</v>
      </c>
      <c r="J84" s="564" t="s">
        <v>627</v>
      </c>
      <c r="K84" s="577">
        <v>1</v>
      </c>
      <c r="L84" s="579">
        <v>60</v>
      </c>
      <c r="M84" s="581" t="s">
        <v>39</v>
      </c>
      <c r="N84" s="584">
        <v>1</v>
      </c>
      <c r="O84" s="579">
        <v>60</v>
      </c>
      <c r="P84" s="585">
        <v>1</v>
      </c>
      <c r="Q84" s="587" t="s">
        <v>48</v>
      </c>
      <c r="R84" s="579">
        <v>60</v>
      </c>
      <c r="S84" s="579">
        <v>60</v>
      </c>
      <c r="T84" s="579">
        <v>60</v>
      </c>
      <c r="U84" s="472"/>
      <c r="V84" s="472"/>
      <c r="W84" s="472"/>
      <c r="X84" s="483">
        <f t="shared" si="3"/>
        <v>1</v>
      </c>
      <c r="Y84" s="440"/>
      <c r="Z84" s="484"/>
      <c r="AA84" s="579"/>
      <c r="AB84" s="472"/>
      <c r="AC84" s="472"/>
      <c r="AD84" s="472"/>
      <c r="AE84" s="473">
        <f t="shared" si="4"/>
        <v>0</v>
      </c>
      <c r="AF84" s="323"/>
      <c r="AG84" s="589" t="e">
        <f>VLOOKUP(B84,'[1]Feature Summary'!$A$7:$U$4028,21,FALSE)</f>
        <v>#N/A</v>
      </c>
      <c r="AH84" s="324"/>
    </row>
    <row r="85" spans="1:34" ht="15.75" thickBot="1" x14ac:dyDescent="0.3">
      <c r="A85" s="330" t="s">
        <v>628</v>
      </c>
      <c r="B85" s="564" t="s">
        <v>629</v>
      </c>
      <c r="C85" s="566" t="s">
        <v>310</v>
      </c>
      <c r="D85" s="570" t="s">
        <v>623</v>
      </c>
      <c r="E85" s="566" t="s">
        <v>624</v>
      </c>
      <c r="F85" s="564" t="s">
        <v>630</v>
      </c>
      <c r="G85" s="575" t="e">
        <f>VLOOKUP(A85,'[1]Feature Summary'!$A$7:$C$4028,3,FALSE)</f>
        <v>#N/A</v>
      </c>
      <c r="H85" s="564" t="s">
        <v>631</v>
      </c>
      <c r="I85" s="437" t="s">
        <v>315</v>
      </c>
      <c r="J85" s="564" t="s">
        <v>627</v>
      </c>
      <c r="K85" s="577">
        <v>1</v>
      </c>
      <c r="L85" s="579">
        <v>60</v>
      </c>
      <c r="M85" s="581" t="s">
        <v>39</v>
      </c>
      <c r="N85" s="584">
        <v>1</v>
      </c>
      <c r="O85" s="579">
        <v>60</v>
      </c>
      <c r="P85" s="585">
        <v>1</v>
      </c>
      <c r="Q85" s="587" t="s">
        <v>48</v>
      </c>
      <c r="R85" s="579">
        <v>60</v>
      </c>
      <c r="S85" s="579">
        <v>60</v>
      </c>
      <c r="T85" s="579">
        <v>60</v>
      </c>
      <c r="U85" s="472"/>
      <c r="V85" s="472"/>
      <c r="W85" s="472"/>
      <c r="X85" s="483">
        <f t="shared" si="3"/>
        <v>1</v>
      </c>
      <c r="Y85" s="440"/>
      <c r="Z85" s="484"/>
      <c r="AA85" s="579"/>
      <c r="AB85" s="472"/>
      <c r="AC85" s="472"/>
      <c r="AD85" s="472"/>
      <c r="AE85" s="473">
        <f t="shared" si="4"/>
        <v>0</v>
      </c>
      <c r="AF85" s="323"/>
      <c r="AG85" s="589" t="e">
        <f>VLOOKUP(B85,'[1]Feature Summary'!$A$7:$U$4028,21,FALSE)</f>
        <v>#N/A</v>
      </c>
      <c r="AH85" s="324"/>
    </row>
    <row r="86" spans="1:34" ht="15.75" hidden="1" thickBot="1" x14ac:dyDescent="0.3">
      <c r="A86" s="330" t="s">
        <v>632</v>
      </c>
      <c r="B86" s="564" t="s">
        <v>633</v>
      </c>
      <c r="C86" s="566" t="s">
        <v>310</v>
      </c>
      <c r="D86" s="570" t="s">
        <v>623</v>
      </c>
      <c r="E86" s="566" t="s">
        <v>634</v>
      </c>
      <c r="F86" s="564" t="s">
        <v>635</v>
      </c>
      <c r="G86" s="575" t="e">
        <f>VLOOKUP(A86,'[1]Feature Summary'!$A$7:$C$4028,3,FALSE)</f>
        <v>#N/A</v>
      </c>
      <c r="H86" s="564" t="s">
        <v>636</v>
      </c>
      <c r="I86" s="437" t="s">
        <v>315</v>
      </c>
      <c r="J86" s="564" t="s">
        <v>627</v>
      </c>
      <c r="K86" s="577">
        <v>1</v>
      </c>
      <c r="L86" s="579">
        <v>1</v>
      </c>
      <c r="M86" s="581" t="s">
        <v>39</v>
      </c>
      <c r="N86" s="584">
        <v>1</v>
      </c>
      <c r="O86" s="579">
        <v>1</v>
      </c>
      <c r="P86" s="585">
        <v>1</v>
      </c>
      <c r="Q86" s="587" t="s">
        <v>48</v>
      </c>
      <c r="R86" s="579">
        <v>1</v>
      </c>
      <c r="S86" s="579">
        <v>1</v>
      </c>
      <c r="T86" s="579">
        <v>1</v>
      </c>
      <c r="U86" s="472"/>
      <c r="V86" s="472"/>
      <c r="W86" s="472"/>
      <c r="X86" s="483">
        <f t="shared" si="3"/>
        <v>1</v>
      </c>
      <c r="Y86" s="440"/>
      <c r="Z86" s="484"/>
      <c r="AA86" s="579"/>
      <c r="AB86" s="472"/>
      <c r="AC86" s="472"/>
      <c r="AD86" s="472"/>
      <c r="AE86" s="473">
        <f t="shared" si="4"/>
        <v>0</v>
      </c>
      <c r="AF86" s="323"/>
      <c r="AG86" s="589" t="e">
        <f>VLOOKUP(B86,'[1]Feature Summary'!$A$7:$U$4028,21,FALSE)</f>
        <v>#N/A</v>
      </c>
      <c r="AH86" s="324"/>
    </row>
    <row r="87" spans="1:34" ht="15.75" hidden="1" thickBot="1" x14ac:dyDescent="0.3">
      <c r="A87" s="330" t="s">
        <v>637</v>
      </c>
      <c r="B87" s="564" t="s">
        <v>638</v>
      </c>
      <c r="C87" s="566" t="s">
        <v>310</v>
      </c>
      <c r="D87" s="570" t="s">
        <v>623</v>
      </c>
      <c r="E87" s="566" t="s">
        <v>624</v>
      </c>
      <c r="F87" s="564" t="s">
        <v>625</v>
      </c>
      <c r="G87" s="575" t="e">
        <f>VLOOKUP(A87,'[1]Feature Summary'!$A$7:$C$4028,3,FALSE)</f>
        <v>#N/A</v>
      </c>
      <c r="H87" s="564" t="s">
        <v>639</v>
      </c>
      <c r="I87" s="437" t="s">
        <v>315</v>
      </c>
      <c r="J87" s="564" t="s">
        <v>627</v>
      </c>
      <c r="K87" s="577">
        <v>1</v>
      </c>
      <c r="L87" s="579">
        <v>1</v>
      </c>
      <c r="M87" s="581" t="s">
        <v>39</v>
      </c>
      <c r="N87" s="584">
        <v>1</v>
      </c>
      <c r="O87" s="579">
        <v>1</v>
      </c>
      <c r="P87" s="585">
        <v>1</v>
      </c>
      <c r="Q87" s="587" t="s">
        <v>48</v>
      </c>
      <c r="R87" s="579">
        <v>1</v>
      </c>
      <c r="S87" s="579">
        <v>1</v>
      </c>
      <c r="T87" s="579">
        <v>1</v>
      </c>
      <c r="U87" s="472"/>
      <c r="V87" s="472"/>
      <c r="W87" s="472"/>
      <c r="X87" s="483">
        <f t="shared" si="3"/>
        <v>1</v>
      </c>
      <c r="Y87" s="440"/>
      <c r="Z87" s="484"/>
      <c r="AA87" s="579"/>
      <c r="AB87" s="472"/>
      <c r="AC87" s="472"/>
      <c r="AD87" s="472"/>
      <c r="AE87" s="473">
        <f t="shared" si="4"/>
        <v>0</v>
      </c>
      <c r="AF87" s="323"/>
      <c r="AG87" s="589" t="e">
        <f>VLOOKUP(B87,'[1]Feature Summary'!$A$7:$U$4028,21,FALSE)</f>
        <v>#N/A</v>
      </c>
      <c r="AH87" s="324"/>
    </row>
    <row r="88" spans="1:34" ht="15.75" hidden="1" thickBot="1" x14ac:dyDescent="0.3">
      <c r="A88" s="330" t="s">
        <v>640</v>
      </c>
      <c r="B88" s="564" t="s">
        <v>641</v>
      </c>
      <c r="C88" s="566" t="s">
        <v>310</v>
      </c>
      <c r="D88" s="570" t="s">
        <v>623</v>
      </c>
      <c r="E88" s="566" t="s">
        <v>624</v>
      </c>
      <c r="F88" s="564" t="s">
        <v>642</v>
      </c>
      <c r="G88" s="575" t="e">
        <f>VLOOKUP(A88,'[1]Feature Summary'!$A$7:$C$4028,3,FALSE)</f>
        <v>#N/A</v>
      </c>
      <c r="H88" s="564" t="s">
        <v>639</v>
      </c>
      <c r="I88" s="437" t="s">
        <v>315</v>
      </c>
      <c r="J88" s="564" t="s">
        <v>627</v>
      </c>
      <c r="K88" s="577">
        <v>1</v>
      </c>
      <c r="L88" s="579">
        <v>1</v>
      </c>
      <c r="M88" s="581" t="s">
        <v>39</v>
      </c>
      <c r="N88" s="584">
        <v>1</v>
      </c>
      <c r="O88" s="579">
        <v>1</v>
      </c>
      <c r="P88" s="585">
        <v>1</v>
      </c>
      <c r="Q88" s="587" t="s">
        <v>48</v>
      </c>
      <c r="R88" s="579">
        <v>1</v>
      </c>
      <c r="S88" s="579">
        <v>1</v>
      </c>
      <c r="T88" s="579">
        <v>1</v>
      </c>
      <c r="U88" s="472"/>
      <c r="V88" s="472"/>
      <c r="W88" s="472"/>
      <c r="X88" s="483">
        <f t="shared" si="3"/>
        <v>1</v>
      </c>
      <c r="Y88" s="440"/>
      <c r="Z88" s="484"/>
      <c r="AA88" s="579"/>
      <c r="AB88" s="472"/>
      <c r="AC88" s="472"/>
      <c r="AD88" s="472"/>
      <c r="AE88" s="473">
        <f t="shared" si="4"/>
        <v>0</v>
      </c>
      <c r="AF88" s="323"/>
      <c r="AG88" s="589" t="e">
        <f>VLOOKUP(B88,'[1]Feature Summary'!$A$7:$U$4028,21,FALSE)</f>
        <v>#N/A</v>
      </c>
      <c r="AH88" s="324"/>
    </row>
    <row r="89" spans="1:34" ht="15.75" hidden="1" thickBot="1" x14ac:dyDescent="0.3">
      <c r="A89" s="330" t="s">
        <v>643</v>
      </c>
      <c r="B89" s="564" t="s">
        <v>644</v>
      </c>
      <c r="C89" s="566" t="s">
        <v>310</v>
      </c>
      <c r="D89" s="570" t="s">
        <v>623</v>
      </c>
      <c r="E89" s="566" t="s">
        <v>624</v>
      </c>
      <c r="F89" s="564" t="s">
        <v>645</v>
      </c>
      <c r="G89" s="575" t="e">
        <f>VLOOKUP(A89,'[1]Feature Summary'!$A$7:$C$4028,3,FALSE)</f>
        <v>#N/A</v>
      </c>
      <c r="H89" s="564" t="s">
        <v>646</v>
      </c>
      <c r="I89" s="437" t="s">
        <v>315</v>
      </c>
      <c r="J89" s="564" t="s">
        <v>627</v>
      </c>
      <c r="K89" s="577">
        <v>1</v>
      </c>
      <c r="L89" s="579">
        <v>1</v>
      </c>
      <c r="M89" s="582" t="s">
        <v>44</v>
      </c>
      <c r="N89" s="584">
        <v>1</v>
      </c>
      <c r="O89" s="579">
        <v>1</v>
      </c>
      <c r="P89" s="585">
        <v>1</v>
      </c>
      <c r="Q89" s="587" t="s">
        <v>48</v>
      </c>
      <c r="R89" s="579">
        <v>1</v>
      </c>
      <c r="S89" s="579">
        <v>1</v>
      </c>
      <c r="T89" s="579">
        <v>1</v>
      </c>
      <c r="U89" s="472"/>
      <c r="V89" s="472"/>
      <c r="W89" s="472"/>
      <c r="X89" s="483">
        <f t="shared" si="3"/>
        <v>1</v>
      </c>
      <c r="Y89" s="440"/>
      <c r="Z89" s="484"/>
      <c r="AA89" s="579"/>
      <c r="AB89" s="472"/>
      <c r="AC89" s="472"/>
      <c r="AD89" s="472"/>
      <c r="AE89" s="473">
        <f t="shared" si="4"/>
        <v>0</v>
      </c>
      <c r="AF89" s="323"/>
      <c r="AG89" s="589" t="e">
        <f>VLOOKUP(B89,'[1]Feature Summary'!$A$7:$U$4028,21,FALSE)</f>
        <v>#N/A</v>
      </c>
      <c r="AH89" s="324"/>
    </row>
    <row r="90" spans="1:34" ht="15.75" hidden="1" thickBot="1" x14ac:dyDescent="0.3">
      <c r="A90" s="330" t="s">
        <v>647</v>
      </c>
      <c r="B90" s="564" t="s">
        <v>648</v>
      </c>
      <c r="C90" s="566" t="s">
        <v>310</v>
      </c>
      <c r="D90" s="570" t="s">
        <v>623</v>
      </c>
      <c r="E90" s="566"/>
      <c r="F90" s="564" t="s">
        <v>649</v>
      </c>
      <c r="G90" s="575" t="e">
        <f>VLOOKUP(A90,'[1]Feature Summary'!$A$7:$C$4028,3,FALSE)</f>
        <v>#N/A</v>
      </c>
      <c r="H90" s="564"/>
      <c r="I90" s="437" t="s">
        <v>315</v>
      </c>
      <c r="J90" s="564"/>
      <c r="K90" s="577">
        <v>1</v>
      </c>
      <c r="L90" s="579">
        <v>1</v>
      </c>
      <c r="M90" s="582" t="s">
        <v>44</v>
      </c>
      <c r="N90" s="584">
        <v>1</v>
      </c>
      <c r="O90" s="579">
        <v>1</v>
      </c>
      <c r="P90" s="585">
        <v>1</v>
      </c>
      <c r="Q90" s="587" t="s">
        <v>48</v>
      </c>
      <c r="R90" s="579">
        <v>1</v>
      </c>
      <c r="S90" s="579">
        <v>1</v>
      </c>
      <c r="T90" s="579">
        <v>1</v>
      </c>
      <c r="U90" s="472"/>
      <c r="V90" s="472"/>
      <c r="W90" s="472"/>
      <c r="X90" s="483">
        <f t="shared" si="3"/>
        <v>1</v>
      </c>
      <c r="Y90" s="440"/>
      <c r="Z90" s="484"/>
      <c r="AA90" s="579"/>
      <c r="AB90" s="472"/>
      <c r="AC90" s="472"/>
      <c r="AD90" s="472"/>
      <c r="AE90" s="473">
        <f t="shared" si="4"/>
        <v>0</v>
      </c>
      <c r="AF90" s="323"/>
      <c r="AG90" s="589" t="e">
        <f>VLOOKUP(B90,'[1]Feature Summary'!$A$7:$U$4028,21,FALSE)</f>
        <v>#N/A</v>
      </c>
      <c r="AH90" s="324"/>
    </row>
    <row r="91" spans="1:34" ht="15.75" hidden="1" thickBot="1" x14ac:dyDescent="0.3">
      <c r="A91" s="330" t="s">
        <v>650</v>
      </c>
      <c r="B91" s="564" t="s">
        <v>651</v>
      </c>
      <c r="C91" s="566" t="s">
        <v>310</v>
      </c>
      <c r="D91" s="570" t="s">
        <v>623</v>
      </c>
      <c r="E91" s="566" t="s">
        <v>624</v>
      </c>
      <c r="F91" s="564" t="s">
        <v>652</v>
      </c>
      <c r="G91" s="575" t="e">
        <f>VLOOKUP(A91,'[1]Feature Summary'!$A$7:$C$4028,3,FALSE)</f>
        <v>#N/A</v>
      </c>
      <c r="H91" s="564" t="s">
        <v>639</v>
      </c>
      <c r="I91" s="437" t="s">
        <v>315</v>
      </c>
      <c r="J91" s="564" t="s">
        <v>627</v>
      </c>
      <c r="K91" s="577">
        <v>1</v>
      </c>
      <c r="L91" s="579">
        <v>1</v>
      </c>
      <c r="M91" s="582" t="s">
        <v>44</v>
      </c>
      <c r="N91" s="584">
        <v>1</v>
      </c>
      <c r="O91" s="579">
        <v>1</v>
      </c>
      <c r="P91" s="585">
        <v>1</v>
      </c>
      <c r="Q91" s="587" t="s">
        <v>48</v>
      </c>
      <c r="R91" s="579">
        <v>1</v>
      </c>
      <c r="S91" s="579">
        <v>1</v>
      </c>
      <c r="T91" s="579">
        <v>1</v>
      </c>
      <c r="U91" s="472"/>
      <c r="V91" s="472"/>
      <c r="W91" s="472"/>
      <c r="X91" s="483">
        <f t="shared" si="3"/>
        <v>1</v>
      </c>
      <c r="Y91" s="440"/>
      <c r="Z91" s="484"/>
      <c r="AA91" s="579"/>
      <c r="AB91" s="472"/>
      <c r="AC91" s="472"/>
      <c r="AD91" s="472"/>
      <c r="AE91" s="473">
        <f t="shared" si="4"/>
        <v>0</v>
      </c>
      <c r="AF91" s="323"/>
      <c r="AG91" s="589" t="e">
        <f>VLOOKUP(B91,'[1]Feature Summary'!$A$7:$U$4028,21,FALSE)</f>
        <v>#N/A</v>
      </c>
      <c r="AH91" s="324"/>
    </row>
    <row r="92" spans="1:34" ht="15.75" hidden="1" thickBot="1" x14ac:dyDescent="0.3">
      <c r="A92" s="330" t="s">
        <v>653</v>
      </c>
      <c r="B92" s="564" t="s">
        <v>654</v>
      </c>
      <c r="C92" s="566" t="s">
        <v>310</v>
      </c>
      <c r="D92" s="570" t="s">
        <v>623</v>
      </c>
      <c r="E92" s="566" t="s">
        <v>624</v>
      </c>
      <c r="F92" s="564" t="s">
        <v>652</v>
      </c>
      <c r="G92" s="575" t="e">
        <f>VLOOKUP(A92,'[1]Feature Summary'!$A$7:$C$4028,3,FALSE)</f>
        <v>#N/A</v>
      </c>
      <c r="H92" s="564" t="s">
        <v>646</v>
      </c>
      <c r="I92" s="437" t="s">
        <v>315</v>
      </c>
      <c r="J92" s="564" t="s">
        <v>627</v>
      </c>
      <c r="K92" s="577">
        <v>1</v>
      </c>
      <c r="L92" s="579">
        <v>1</v>
      </c>
      <c r="M92" s="582" t="s">
        <v>44</v>
      </c>
      <c r="N92" s="584">
        <v>1</v>
      </c>
      <c r="O92" s="579">
        <v>1</v>
      </c>
      <c r="P92" s="585">
        <v>1</v>
      </c>
      <c r="Q92" s="587" t="s">
        <v>48</v>
      </c>
      <c r="R92" s="579">
        <v>1</v>
      </c>
      <c r="S92" s="579">
        <v>1</v>
      </c>
      <c r="T92" s="579">
        <v>1</v>
      </c>
      <c r="U92" s="472"/>
      <c r="V92" s="472"/>
      <c r="W92" s="472"/>
      <c r="X92" s="483">
        <f t="shared" si="3"/>
        <v>1</v>
      </c>
      <c r="Y92" s="440"/>
      <c r="Z92" s="484"/>
      <c r="AA92" s="579"/>
      <c r="AB92" s="472"/>
      <c r="AC92" s="472"/>
      <c r="AD92" s="472"/>
      <c r="AE92" s="473">
        <f t="shared" si="4"/>
        <v>0</v>
      </c>
      <c r="AF92" s="323"/>
      <c r="AG92" s="589" t="e">
        <f>VLOOKUP(B92,'[1]Feature Summary'!$A$7:$U$4028,21,FALSE)</f>
        <v>#N/A</v>
      </c>
      <c r="AH92" s="324"/>
    </row>
    <row r="93" spans="1:34" ht="15.75" hidden="1" thickBot="1" x14ac:dyDescent="0.3">
      <c r="A93" s="330" t="s">
        <v>655</v>
      </c>
      <c r="B93" s="564" t="s">
        <v>656</v>
      </c>
      <c r="C93" s="566" t="s">
        <v>310</v>
      </c>
      <c r="D93" s="570" t="s">
        <v>623</v>
      </c>
      <c r="E93" s="566" t="s">
        <v>624</v>
      </c>
      <c r="F93" s="564" t="s">
        <v>657</v>
      </c>
      <c r="G93" s="575" t="e">
        <f>VLOOKUP(A93,'[1]Feature Summary'!$A$7:$C$4028,3,FALSE)</f>
        <v>#N/A</v>
      </c>
      <c r="H93" s="564" t="s">
        <v>639</v>
      </c>
      <c r="I93" s="437" t="s">
        <v>315</v>
      </c>
      <c r="J93" s="564" t="s">
        <v>627</v>
      </c>
      <c r="K93" s="577">
        <v>1</v>
      </c>
      <c r="L93" s="579">
        <v>1</v>
      </c>
      <c r="M93" s="582" t="s">
        <v>44</v>
      </c>
      <c r="N93" s="584">
        <v>1</v>
      </c>
      <c r="O93" s="579">
        <v>1</v>
      </c>
      <c r="P93" s="585">
        <v>1</v>
      </c>
      <c r="Q93" s="587" t="s">
        <v>48</v>
      </c>
      <c r="R93" s="579">
        <v>1</v>
      </c>
      <c r="S93" s="579">
        <v>1</v>
      </c>
      <c r="T93" s="579">
        <v>1</v>
      </c>
      <c r="U93" s="472"/>
      <c r="V93" s="472"/>
      <c r="W93" s="472"/>
      <c r="X93" s="483">
        <f t="shared" si="3"/>
        <v>1</v>
      </c>
      <c r="Y93" s="440"/>
      <c r="Z93" s="484"/>
      <c r="AA93" s="579"/>
      <c r="AB93" s="472"/>
      <c r="AC93" s="472"/>
      <c r="AD93" s="472"/>
      <c r="AE93" s="473">
        <f t="shared" si="4"/>
        <v>0</v>
      </c>
      <c r="AF93" s="323"/>
      <c r="AG93" s="589" t="e">
        <f>VLOOKUP(B93,'[1]Feature Summary'!$A$7:$U$4028,21,FALSE)</f>
        <v>#N/A</v>
      </c>
      <c r="AH93" s="324"/>
    </row>
    <row r="94" spans="1:34" ht="15.75" hidden="1" thickBot="1" x14ac:dyDescent="0.3">
      <c r="A94" s="330" t="s">
        <v>658</v>
      </c>
      <c r="B94" s="564" t="s">
        <v>659</v>
      </c>
      <c r="C94" s="566" t="s">
        <v>310</v>
      </c>
      <c r="D94" s="570" t="s">
        <v>623</v>
      </c>
      <c r="E94" s="566" t="s">
        <v>624</v>
      </c>
      <c r="F94" s="564" t="s">
        <v>660</v>
      </c>
      <c r="G94" s="575" t="e">
        <f>VLOOKUP(A94,'[1]Feature Summary'!$A$7:$C$4028,3,FALSE)</f>
        <v>#N/A</v>
      </c>
      <c r="H94" s="564" t="s">
        <v>639</v>
      </c>
      <c r="I94" s="437" t="s">
        <v>315</v>
      </c>
      <c r="J94" s="564" t="s">
        <v>627</v>
      </c>
      <c r="K94" s="577">
        <v>1</v>
      </c>
      <c r="L94" s="579">
        <v>1</v>
      </c>
      <c r="M94" s="582" t="s">
        <v>44</v>
      </c>
      <c r="N94" s="584">
        <v>1</v>
      </c>
      <c r="O94" s="579">
        <v>1</v>
      </c>
      <c r="P94" s="585">
        <v>1</v>
      </c>
      <c r="Q94" s="587" t="s">
        <v>48</v>
      </c>
      <c r="R94" s="579">
        <v>1</v>
      </c>
      <c r="S94" s="579">
        <v>1</v>
      </c>
      <c r="T94" s="579">
        <v>1</v>
      </c>
      <c r="U94" s="472"/>
      <c r="V94" s="472"/>
      <c r="W94" s="472"/>
      <c r="X94" s="483">
        <f t="shared" si="3"/>
        <v>1</v>
      </c>
      <c r="Y94" s="440"/>
      <c r="Z94" s="484"/>
      <c r="AA94" s="579"/>
      <c r="AB94" s="472"/>
      <c r="AC94" s="472"/>
      <c r="AD94" s="472"/>
      <c r="AE94" s="473">
        <f t="shared" si="4"/>
        <v>0</v>
      </c>
      <c r="AF94" s="323"/>
      <c r="AG94" s="589" t="e">
        <f>VLOOKUP(B94,'[1]Feature Summary'!$A$7:$U$4028,21,FALSE)</f>
        <v>#N/A</v>
      </c>
      <c r="AH94" s="324"/>
    </row>
    <row r="95" spans="1:34" ht="15.75" hidden="1" thickBot="1" x14ac:dyDescent="0.3">
      <c r="A95" s="330" t="s">
        <v>661</v>
      </c>
      <c r="B95" s="564" t="s">
        <v>662</v>
      </c>
      <c r="C95" s="566" t="s">
        <v>310</v>
      </c>
      <c r="D95" s="570" t="s">
        <v>623</v>
      </c>
      <c r="E95" s="566" t="s">
        <v>624</v>
      </c>
      <c r="F95" s="564" t="s">
        <v>625</v>
      </c>
      <c r="G95" s="575" t="e">
        <f>VLOOKUP(A95,'[1]Feature Summary'!$A$7:$C$4028,3,FALSE)</f>
        <v>#N/A</v>
      </c>
      <c r="H95" s="564" t="s">
        <v>639</v>
      </c>
      <c r="I95" s="437" t="s">
        <v>315</v>
      </c>
      <c r="J95" s="564" t="s">
        <v>627</v>
      </c>
      <c r="K95" s="577">
        <v>1</v>
      </c>
      <c r="L95" s="579">
        <v>1</v>
      </c>
      <c r="M95" s="582" t="s">
        <v>44</v>
      </c>
      <c r="N95" s="584">
        <v>1</v>
      </c>
      <c r="O95" s="579">
        <v>1</v>
      </c>
      <c r="P95" s="585">
        <v>1</v>
      </c>
      <c r="Q95" s="587" t="s">
        <v>48</v>
      </c>
      <c r="R95" s="579">
        <v>1</v>
      </c>
      <c r="S95" s="579">
        <v>1</v>
      </c>
      <c r="T95" s="579">
        <v>1</v>
      </c>
      <c r="U95" s="472"/>
      <c r="V95" s="472"/>
      <c r="W95" s="472"/>
      <c r="X95" s="483">
        <f t="shared" si="3"/>
        <v>1</v>
      </c>
      <c r="Y95" s="440"/>
      <c r="Z95" s="484"/>
      <c r="AA95" s="579"/>
      <c r="AB95" s="472"/>
      <c r="AC95" s="472"/>
      <c r="AD95" s="472"/>
      <c r="AE95" s="473">
        <f t="shared" si="4"/>
        <v>0</v>
      </c>
      <c r="AF95" s="323"/>
      <c r="AG95" s="589" t="e">
        <f>VLOOKUP(B95,'[1]Feature Summary'!$A$7:$U$4028,21,FALSE)</f>
        <v>#N/A</v>
      </c>
      <c r="AH95" s="324"/>
    </row>
    <row r="96" spans="1:34" ht="15.75" hidden="1" thickBot="1" x14ac:dyDescent="0.3">
      <c r="A96" s="330" t="s">
        <v>663</v>
      </c>
      <c r="B96" s="564" t="s">
        <v>664</v>
      </c>
      <c r="C96" s="566" t="s">
        <v>310</v>
      </c>
      <c r="D96" s="570" t="s">
        <v>623</v>
      </c>
      <c r="E96" s="566" t="s">
        <v>624</v>
      </c>
      <c r="F96" s="564" t="s">
        <v>665</v>
      </c>
      <c r="G96" s="575" t="e">
        <f>VLOOKUP(A96,'[1]Feature Summary'!$A$7:$C$4028,3,FALSE)</f>
        <v>#N/A</v>
      </c>
      <c r="H96" s="564" t="s">
        <v>639</v>
      </c>
      <c r="I96" s="437" t="s">
        <v>315</v>
      </c>
      <c r="J96" s="564" t="s">
        <v>627</v>
      </c>
      <c r="K96" s="577">
        <v>1</v>
      </c>
      <c r="L96" s="579">
        <v>1</v>
      </c>
      <c r="M96" s="582" t="s">
        <v>44</v>
      </c>
      <c r="N96" s="584">
        <v>1</v>
      </c>
      <c r="O96" s="579">
        <v>1</v>
      </c>
      <c r="P96" s="585">
        <v>1</v>
      </c>
      <c r="Q96" s="587" t="s">
        <v>48</v>
      </c>
      <c r="R96" s="579">
        <v>1</v>
      </c>
      <c r="S96" s="579">
        <v>1</v>
      </c>
      <c r="T96" s="579">
        <v>1</v>
      </c>
      <c r="U96" s="472"/>
      <c r="V96" s="472"/>
      <c r="W96" s="472"/>
      <c r="X96" s="483">
        <f t="shared" si="3"/>
        <v>1</v>
      </c>
      <c r="Y96" s="440"/>
      <c r="Z96" s="484"/>
      <c r="AA96" s="579"/>
      <c r="AB96" s="472"/>
      <c r="AC96" s="472"/>
      <c r="AD96" s="472"/>
      <c r="AE96" s="473">
        <f t="shared" si="4"/>
        <v>0</v>
      </c>
      <c r="AF96" s="323"/>
      <c r="AG96" s="589" t="e">
        <f>VLOOKUP(B96,'[1]Feature Summary'!$A$7:$U$4028,21,FALSE)</f>
        <v>#N/A</v>
      </c>
      <c r="AH96" s="324"/>
    </row>
    <row r="97" spans="1:34" ht="15.75" hidden="1" thickBot="1" x14ac:dyDescent="0.3">
      <c r="A97" s="330" t="s">
        <v>663</v>
      </c>
      <c r="B97" s="564" t="s">
        <v>664</v>
      </c>
      <c r="C97" s="566" t="s">
        <v>310</v>
      </c>
      <c r="D97" s="570" t="s">
        <v>623</v>
      </c>
      <c r="E97" s="566" t="s">
        <v>634</v>
      </c>
      <c r="F97" s="564" t="s">
        <v>666</v>
      </c>
      <c r="G97" s="575" t="e">
        <f>VLOOKUP(A97,'[1]Feature Summary'!$A$7:$C$4028,3,FALSE)</f>
        <v>#N/A</v>
      </c>
      <c r="H97" s="564" t="s">
        <v>667</v>
      </c>
      <c r="I97" s="437" t="s">
        <v>315</v>
      </c>
      <c r="J97" s="564" t="s">
        <v>627</v>
      </c>
      <c r="K97" s="577">
        <v>1</v>
      </c>
      <c r="L97" s="579">
        <v>1</v>
      </c>
      <c r="M97" s="582" t="s">
        <v>44</v>
      </c>
      <c r="N97" s="584">
        <v>1</v>
      </c>
      <c r="O97" s="579">
        <v>1</v>
      </c>
      <c r="P97" s="585">
        <v>1</v>
      </c>
      <c r="Q97" s="587" t="s">
        <v>48</v>
      </c>
      <c r="R97" s="579">
        <v>1</v>
      </c>
      <c r="S97" s="579">
        <v>1</v>
      </c>
      <c r="T97" s="579">
        <v>1</v>
      </c>
      <c r="U97" s="472"/>
      <c r="V97" s="472"/>
      <c r="W97" s="472"/>
      <c r="X97" s="483">
        <f t="shared" si="3"/>
        <v>1</v>
      </c>
      <c r="Y97" s="440"/>
      <c r="Z97" s="484"/>
      <c r="AA97" s="579"/>
      <c r="AB97" s="472"/>
      <c r="AC97" s="472"/>
      <c r="AD97" s="472"/>
      <c r="AE97" s="473">
        <f t="shared" si="4"/>
        <v>0</v>
      </c>
      <c r="AF97" s="323"/>
      <c r="AG97" s="589" t="e">
        <f>VLOOKUP(B97,'[1]Feature Summary'!$A$7:$U$4028,21,FALSE)</f>
        <v>#N/A</v>
      </c>
      <c r="AH97" s="324"/>
    </row>
    <row r="98" spans="1:34" ht="15.75" hidden="1" thickBot="1" x14ac:dyDescent="0.3">
      <c r="A98" s="330" t="s">
        <v>668</v>
      </c>
      <c r="B98" s="564" t="s">
        <v>669</v>
      </c>
      <c r="C98" s="566" t="s">
        <v>310</v>
      </c>
      <c r="D98" s="570" t="s">
        <v>623</v>
      </c>
      <c r="E98" s="566" t="s">
        <v>624</v>
      </c>
      <c r="F98" s="564" t="s">
        <v>625</v>
      </c>
      <c r="G98" s="575" t="e">
        <f>VLOOKUP(A98,'[1]Feature Summary'!$A$7:$C$4028,3,FALSE)</f>
        <v>#N/A</v>
      </c>
      <c r="H98" s="564" t="s">
        <v>639</v>
      </c>
      <c r="I98" s="437" t="s">
        <v>315</v>
      </c>
      <c r="J98" s="564" t="s">
        <v>627</v>
      </c>
      <c r="K98" s="577">
        <v>1</v>
      </c>
      <c r="L98" s="579">
        <v>1</v>
      </c>
      <c r="M98" s="582" t="s">
        <v>44</v>
      </c>
      <c r="N98" s="584">
        <v>1</v>
      </c>
      <c r="O98" s="579">
        <v>1</v>
      </c>
      <c r="P98" s="585">
        <v>1</v>
      </c>
      <c r="Q98" s="587" t="s">
        <v>48</v>
      </c>
      <c r="R98" s="579">
        <v>1</v>
      </c>
      <c r="S98" s="579">
        <v>1</v>
      </c>
      <c r="T98" s="579">
        <v>1</v>
      </c>
      <c r="U98" s="472"/>
      <c r="V98" s="472"/>
      <c r="W98" s="472"/>
      <c r="X98" s="483">
        <f t="shared" si="3"/>
        <v>1</v>
      </c>
      <c r="Y98" s="440"/>
      <c r="Z98" s="484"/>
      <c r="AA98" s="579"/>
      <c r="AB98" s="472"/>
      <c r="AC98" s="472"/>
      <c r="AD98" s="472"/>
      <c r="AE98" s="473">
        <f t="shared" si="4"/>
        <v>0</v>
      </c>
      <c r="AF98" s="323"/>
      <c r="AG98" s="589" t="e">
        <f>VLOOKUP(B98,'[1]Feature Summary'!$A$7:$U$4028,21,FALSE)</f>
        <v>#N/A</v>
      </c>
      <c r="AH98" s="324"/>
    </row>
    <row r="99" spans="1:34" ht="15.75" thickBot="1" x14ac:dyDescent="0.3">
      <c r="A99" s="330" t="s">
        <v>670</v>
      </c>
      <c r="B99" s="564" t="s">
        <v>671</v>
      </c>
      <c r="C99" s="566" t="s">
        <v>310</v>
      </c>
      <c r="D99" s="570" t="s">
        <v>623</v>
      </c>
      <c r="E99" s="566" t="s">
        <v>672</v>
      </c>
      <c r="F99" s="564" t="s">
        <v>673</v>
      </c>
      <c r="G99" s="575" t="e">
        <f>VLOOKUP(A99,'[1]Feature Summary'!$A$7:$C$4028,3,FALSE)</f>
        <v>#N/A</v>
      </c>
      <c r="H99" s="564" t="s">
        <v>674</v>
      </c>
      <c r="I99" s="437" t="s">
        <v>315</v>
      </c>
      <c r="J99" s="564"/>
      <c r="K99" s="577">
        <v>1</v>
      </c>
      <c r="L99" s="579">
        <v>2</v>
      </c>
      <c r="M99" s="582" t="s">
        <v>44</v>
      </c>
      <c r="N99" s="584">
        <v>1</v>
      </c>
      <c r="O99" s="579">
        <v>2</v>
      </c>
      <c r="P99" s="585">
        <v>1</v>
      </c>
      <c r="Q99" s="587" t="s">
        <v>48</v>
      </c>
      <c r="R99" s="579">
        <v>2</v>
      </c>
      <c r="S99" s="579">
        <v>2</v>
      </c>
      <c r="T99" s="579">
        <v>2</v>
      </c>
      <c r="U99" s="472"/>
      <c r="V99" s="472"/>
      <c r="W99" s="472"/>
      <c r="X99" s="483">
        <f t="shared" si="3"/>
        <v>1</v>
      </c>
      <c r="Y99" s="440"/>
      <c r="Z99" s="484"/>
      <c r="AA99" s="579"/>
      <c r="AB99" s="472"/>
      <c r="AC99" s="472"/>
      <c r="AD99" s="472"/>
      <c r="AE99" s="473">
        <f t="shared" si="4"/>
        <v>0</v>
      </c>
      <c r="AF99" s="323"/>
      <c r="AG99" s="589" t="e">
        <f>VLOOKUP(B99,'[1]Feature Summary'!$A$7:$U$4028,21,FALSE)</f>
        <v>#N/A</v>
      </c>
      <c r="AH99" s="324"/>
    </row>
    <row r="100" spans="1:34" ht="15.75" hidden="1" thickBot="1" x14ac:dyDescent="0.3">
      <c r="A100" s="330" t="s">
        <v>675</v>
      </c>
      <c r="B100" s="564" t="s">
        <v>676</v>
      </c>
      <c r="C100" s="566" t="s">
        <v>310</v>
      </c>
      <c r="D100" s="570" t="s">
        <v>623</v>
      </c>
      <c r="E100" s="566" t="s">
        <v>677</v>
      </c>
      <c r="F100" s="564" t="s">
        <v>678</v>
      </c>
      <c r="G100" s="575" t="e">
        <f>VLOOKUP(A100,'[1]Feature Summary'!$A$7:$C$4028,3,FALSE)</f>
        <v>#N/A</v>
      </c>
      <c r="H100" s="564" t="s">
        <v>679</v>
      </c>
      <c r="I100" s="437" t="s">
        <v>315</v>
      </c>
      <c r="J100" s="564"/>
      <c r="K100" s="577">
        <v>1</v>
      </c>
      <c r="L100" s="579">
        <v>1</v>
      </c>
      <c r="M100" s="582" t="s">
        <v>44</v>
      </c>
      <c r="N100" s="584">
        <v>1</v>
      </c>
      <c r="O100" s="579">
        <v>1</v>
      </c>
      <c r="P100" s="585">
        <v>1</v>
      </c>
      <c r="Q100" s="587" t="s">
        <v>48</v>
      </c>
      <c r="R100" s="579">
        <v>1</v>
      </c>
      <c r="S100" s="579">
        <v>1</v>
      </c>
      <c r="T100" s="579">
        <v>1</v>
      </c>
      <c r="U100" s="472"/>
      <c r="V100" s="472"/>
      <c r="W100" s="472"/>
      <c r="X100" s="483">
        <f t="shared" si="3"/>
        <v>1</v>
      </c>
      <c r="Y100" s="440"/>
      <c r="Z100" s="484"/>
      <c r="AA100" s="579"/>
      <c r="AB100" s="472"/>
      <c r="AC100" s="472"/>
      <c r="AD100" s="472"/>
      <c r="AE100" s="473">
        <f t="shared" si="4"/>
        <v>0</v>
      </c>
      <c r="AF100" s="323"/>
      <c r="AG100" s="589" t="e">
        <f>VLOOKUP(B100,'[1]Feature Summary'!$A$7:$U$4028,21,FALSE)</f>
        <v>#N/A</v>
      </c>
      <c r="AH100" s="324"/>
    </row>
    <row r="101" spans="1:34" ht="15.75" hidden="1" thickBot="1" x14ac:dyDescent="0.3">
      <c r="A101" s="330" t="s">
        <v>680</v>
      </c>
      <c r="B101" s="564" t="s">
        <v>681</v>
      </c>
      <c r="C101" s="566" t="s">
        <v>310</v>
      </c>
      <c r="D101" s="570" t="s">
        <v>623</v>
      </c>
      <c r="E101" s="566" t="s">
        <v>624</v>
      </c>
      <c r="F101" s="564" t="s">
        <v>681</v>
      </c>
      <c r="G101" s="575" t="e">
        <f>VLOOKUP(A101,'[1]Feature Summary'!$A$7:$C$4028,3,FALSE)</f>
        <v>#N/A</v>
      </c>
      <c r="H101" s="564" t="s">
        <v>639</v>
      </c>
      <c r="I101" s="437" t="s">
        <v>315</v>
      </c>
      <c r="J101" s="564" t="s">
        <v>627</v>
      </c>
      <c r="K101" s="577">
        <v>1</v>
      </c>
      <c r="L101" s="579">
        <v>1</v>
      </c>
      <c r="M101" s="582" t="s">
        <v>44</v>
      </c>
      <c r="N101" s="584">
        <v>1</v>
      </c>
      <c r="O101" s="579">
        <v>1</v>
      </c>
      <c r="P101" s="585">
        <v>1</v>
      </c>
      <c r="Q101" s="587" t="s">
        <v>48</v>
      </c>
      <c r="R101" s="579">
        <v>1</v>
      </c>
      <c r="S101" s="579">
        <v>1</v>
      </c>
      <c r="T101" s="579">
        <v>1</v>
      </c>
      <c r="U101" s="472"/>
      <c r="V101" s="472"/>
      <c r="W101" s="472"/>
      <c r="X101" s="483">
        <f t="shared" si="3"/>
        <v>1</v>
      </c>
      <c r="Y101" s="440"/>
      <c r="Z101" s="484"/>
      <c r="AA101" s="579"/>
      <c r="AB101" s="472"/>
      <c r="AC101" s="472"/>
      <c r="AD101" s="472"/>
      <c r="AE101" s="473">
        <f t="shared" si="4"/>
        <v>0</v>
      </c>
      <c r="AF101" s="323"/>
      <c r="AG101" s="589" t="e">
        <f>VLOOKUP(B101,'[1]Feature Summary'!$A$7:$U$4028,21,FALSE)</f>
        <v>#N/A</v>
      </c>
      <c r="AH101" s="324"/>
    </row>
    <row r="102" spans="1:34" ht="15.75" hidden="1" thickBot="1" x14ac:dyDescent="0.3">
      <c r="A102" s="330" t="s">
        <v>682</v>
      </c>
      <c r="B102" s="564" t="s">
        <v>683</v>
      </c>
      <c r="C102" s="566" t="s">
        <v>310</v>
      </c>
      <c r="D102" s="570" t="s">
        <v>684</v>
      </c>
      <c r="E102" s="566" t="s">
        <v>312</v>
      </c>
      <c r="F102" s="564" t="s">
        <v>683</v>
      </c>
      <c r="G102" s="575" t="e">
        <f>VLOOKUP(A102,'[1]Feature Summary'!$A$7:$C$4028,3,FALSE)</f>
        <v>#N/A</v>
      </c>
      <c r="H102" s="564" t="s">
        <v>312</v>
      </c>
      <c r="I102" s="437" t="s">
        <v>315</v>
      </c>
      <c r="J102" s="564" t="s">
        <v>312</v>
      </c>
      <c r="K102" s="577">
        <v>1</v>
      </c>
      <c r="L102" s="579">
        <v>1</v>
      </c>
      <c r="M102" s="582" t="s">
        <v>44</v>
      </c>
      <c r="N102" s="584">
        <v>1</v>
      </c>
      <c r="O102" s="579">
        <v>1</v>
      </c>
      <c r="P102" s="585">
        <v>1</v>
      </c>
      <c r="Q102" s="587" t="s">
        <v>48</v>
      </c>
      <c r="R102" s="579">
        <v>1</v>
      </c>
      <c r="S102" s="579">
        <v>1</v>
      </c>
      <c r="T102" s="579">
        <v>1</v>
      </c>
      <c r="U102" s="472"/>
      <c r="V102" s="472"/>
      <c r="W102" s="472"/>
      <c r="X102" s="483">
        <f t="shared" si="3"/>
        <v>1</v>
      </c>
      <c r="Y102" s="440"/>
      <c r="Z102" s="471"/>
      <c r="AA102" s="472"/>
      <c r="AB102" s="472"/>
      <c r="AC102" s="472"/>
      <c r="AD102" s="472"/>
      <c r="AE102" s="473">
        <f t="shared" si="4"/>
        <v>0</v>
      </c>
      <c r="AF102" s="323"/>
      <c r="AG102" s="589" t="e">
        <f>VLOOKUP(B102,'[1]Feature Summary'!$A$7:$U$4028,21,FALSE)</f>
        <v>#N/A</v>
      </c>
      <c r="AH102" s="324"/>
    </row>
    <row r="103" spans="1:34" ht="15.75" hidden="1" thickBot="1" x14ac:dyDescent="0.3">
      <c r="A103" s="330" t="s">
        <v>685</v>
      </c>
      <c r="B103" s="564" t="s">
        <v>686</v>
      </c>
      <c r="C103" s="566" t="s">
        <v>310</v>
      </c>
      <c r="D103" s="570" t="s">
        <v>686</v>
      </c>
      <c r="E103" s="566" t="s">
        <v>312</v>
      </c>
      <c r="F103" s="564" t="s">
        <v>312</v>
      </c>
      <c r="G103" s="575" t="e">
        <f>VLOOKUP(A103,'[1]Feature Summary'!$A$7:$C$4028,3,FALSE)</f>
        <v>#N/A</v>
      </c>
      <c r="H103" s="564" t="s">
        <v>312</v>
      </c>
      <c r="I103" s="437" t="s">
        <v>315</v>
      </c>
      <c r="J103" s="564" t="s">
        <v>312</v>
      </c>
      <c r="K103" s="577">
        <v>1</v>
      </c>
      <c r="L103" s="579">
        <v>1</v>
      </c>
      <c r="M103" s="582" t="s">
        <v>44</v>
      </c>
      <c r="N103" s="584">
        <v>1</v>
      </c>
      <c r="O103" s="579">
        <v>1</v>
      </c>
      <c r="P103" s="585">
        <v>1</v>
      </c>
      <c r="Q103" s="587" t="s">
        <v>48</v>
      </c>
      <c r="R103" s="579">
        <v>1</v>
      </c>
      <c r="S103" s="579">
        <v>1</v>
      </c>
      <c r="T103" s="579">
        <v>1</v>
      </c>
      <c r="U103" s="472"/>
      <c r="V103" s="472"/>
      <c r="W103" s="472"/>
      <c r="X103" s="483">
        <f t="shared" si="3"/>
        <v>1</v>
      </c>
      <c r="Y103" s="440"/>
      <c r="Z103" s="471"/>
      <c r="AA103" s="472"/>
      <c r="AB103" s="472"/>
      <c r="AC103" s="472"/>
      <c r="AD103" s="472"/>
      <c r="AE103" s="473">
        <f t="shared" si="4"/>
        <v>0</v>
      </c>
      <c r="AF103" s="323"/>
      <c r="AG103" s="589" t="e">
        <f>VLOOKUP(B103,'[1]Feature Summary'!$A$7:$U$4028,21,FALSE)</f>
        <v>#N/A</v>
      </c>
      <c r="AH103" s="324"/>
    </row>
    <row r="104" spans="1:34" ht="15.75" thickBot="1" x14ac:dyDescent="0.3">
      <c r="A104" s="330" t="s">
        <v>687</v>
      </c>
      <c r="B104" s="564" t="s">
        <v>688</v>
      </c>
      <c r="C104" s="566" t="s">
        <v>310</v>
      </c>
      <c r="D104" s="570" t="s">
        <v>689</v>
      </c>
      <c r="E104" s="566" t="s">
        <v>690</v>
      </c>
      <c r="F104" s="564" t="s">
        <v>691</v>
      </c>
      <c r="G104" s="575" t="e">
        <f>VLOOKUP(A104,'[1]Feature Summary'!$A$7:$C$4028,3,FALSE)</f>
        <v>#N/A</v>
      </c>
      <c r="H104" s="564" t="s">
        <v>692</v>
      </c>
      <c r="I104" s="437" t="s">
        <v>315</v>
      </c>
      <c r="J104" s="564" t="s">
        <v>47</v>
      </c>
      <c r="K104" s="577">
        <v>1</v>
      </c>
      <c r="L104" s="579">
        <v>2</v>
      </c>
      <c r="M104" s="582" t="s">
        <v>44</v>
      </c>
      <c r="N104" s="584">
        <v>1</v>
      </c>
      <c r="O104" s="579">
        <v>2</v>
      </c>
      <c r="P104" s="585">
        <v>1</v>
      </c>
      <c r="Q104" s="587" t="s">
        <v>693</v>
      </c>
      <c r="R104" s="579">
        <v>2</v>
      </c>
      <c r="S104" s="579">
        <v>2</v>
      </c>
      <c r="T104" s="579">
        <v>2</v>
      </c>
      <c r="U104" s="472"/>
      <c r="V104" s="472"/>
      <c r="W104" s="472"/>
      <c r="X104" s="483">
        <f t="shared" si="3"/>
        <v>1</v>
      </c>
      <c r="Y104" s="440"/>
      <c r="Z104" s="471"/>
      <c r="AA104" s="472"/>
      <c r="AB104" s="472"/>
      <c r="AC104" s="472"/>
      <c r="AD104" s="472"/>
      <c r="AE104" s="473">
        <f t="shared" si="4"/>
        <v>0</v>
      </c>
      <c r="AF104" s="323"/>
      <c r="AG104" s="589" t="e">
        <f>VLOOKUP(B104,'[1]Feature Summary'!$A$7:$U$4028,21,FALSE)</f>
        <v>#N/A</v>
      </c>
      <c r="AH104" s="324"/>
    </row>
    <row r="105" spans="1:34" ht="15.75" hidden="1" thickBot="1" x14ac:dyDescent="0.3">
      <c r="A105" s="330" t="s">
        <v>694</v>
      </c>
      <c r="B105" s="564" t="s">
        <v>695</v>
      </c>
      <c r="C105" s="566" t="s">
        <v>310</v>
      </c>
      <c r="D105" s="570" t="s">
        <v>689</v>
      </c>
      <c r="E105" s="566" t="s">
        <v>696</v>
      </c>
      <c r="F105" s="564" t="s">
        <v>697</v>
      </c>
      <c r="G105" s="575" t="e">
        <f>VLOOKUP(A105,'[1]Feature Summary'!$A$7:$C$4028,3,FALSE)</f>
        <v>#N/A</v>
      </c>
      <c r="H105" s="564" t="s">
        <v>698</v>
      </c>
      <c r="I105" s="437" t="s">
        <v>315</v>
      </c>
      <c r="J105" s="564" t="s">
        <v>47</v>
      </c>
      <c r="K105" s="577">
        <v>1</v>
      </c>
      <c r="L105" s="579">
        <v>1</v>
      </c>
      <c r="M105" s="582" t="s">
        <v>44</v>
      </c>
      <c r="N105" s="584">
        <v>1</v>
      </c>
      <c r="O105" s="579">
        <v>1</v>
      </c>
      <c r="P105" s="585">
        <v>1</v>
      </c>
      <c r="Q105" s="587" t="s">
        <v>38</v>
      </c>
      <c r="R105" s="579">
        <v>1</v>
      </c>
      <c r="S105" s="579">
        <v>1</v>
      </c>
      <c r="T105" s="579">
        <v>1</v>
      </c>
      <c r="U105" s="472"/>
      <c r="V105" s="472"/>
      <c r="W105" s="472"/>
      <c r="X105" s="483">
        <f t="shared" si="3"/>
        <v>1</v>
      </c>
      <c r="Y105" s="440"/>
      <c r="Z105" s="471"/>
      <c r="AA105" s="472"/>
      <c r="AB105" s="472"/>
      <c r="AC105" s="472"/>
      <c r="AD105" s="472"/>
      <c r="AE105" s="473">
        <f t="shared" si="4"/>
        <v>0</v>
      </c>
      <c r="AF105" s="323"/>
      <c r="AG105" s="589" t="e">
        <f>VLOOKUP(B105,'[1]Feature Summary'!$A$7:$U$4028,21,FALSE)</f>
        <v>#N/A</v>
      </c>
      <c r="AH105" s="324"/>
    </row>
    <row r="106" spans="1:34" ht="15.75" hidden="1" thickBot="1" x14ac:dyDescent="0.3">
      <c r="A106" s="330" t="s">
        <v>699</v>
      </c>
      <c r="B106" s="564" t="s">
        <v>700</v>
      </c>
      <c r="C106" s="566" t="s">
        <v>310</v>
      </c>
      <c r="D106" s="570" t="s">
        <v>689</v>
      </c>
      <c r="E106" s="566"/>
      <c r="F106" s="564" t="s">
        <v>701</v>
      </c>
      <c r="G106" s="575" t="e">
        <f>VLOOKUP(A106,'[1]Feature Summary'!$A$7:$C$4028,3,FALSE)</f>
        <v>#N/A</v>
      </c>
      <c r="H106" s="564"/>
      <c r="I106" s="437" t="s">
        <v>315</v>
      </c>
      <c r="J106" s="564"/>
      <c r="K106" s="577">
        <v>1</v>
      </c>
      <c r="L106" s="579">
        <v>1</v>
      </c>
      <c r="M106" s="582" t="s">
        <v>44</v>
      </c>
      <c r="N106" s="584">
        <v>1</v>
      </c>
      <c r="O106" s="579">
        <v>1</v>
      </c>
      <c r="P106" s="585">
        <v>1</v>
      </c>
      <c r="Q106" s="587" t="s">
        <v>48</v>
      </c>
      <c r="R106" s="579">
        <v>1</v>
      </c>
      <c r="S106" s="579">
        <v>1</v>
      </c>
      <c r="T106" s="579">
        <v>1</v>
      </c>
      <c r="U106" s="472"/>
      <c r="V106" s="472"/>
      <c r="W106" s="472"/>
      <c r="X106" s="483">
        <f t="shared" si="3"/>
        <v>1</v>
      </c>
      <c r="Y106" s="440"/>
      <c r="Z106" s="471"/>
      <c r="AA106" s="472"/>
      <c r="AB106" s="472"/>
      <c r="AC106" s="472"/>
      <c r="AD106" s="472"/>
      <c r="AE106" s="473">
        <f t="shared" si="4"/>
        <v>0</v>
      </c>
      <c r="AF106" s="323"/>
      <c r="AG106" s="589" t="e">
        <f>VLOOKUP(B106,'[1]Feature Summary'!$A$7:$U$4028,21,FALSE)</f>
        <v>#N/A</v>
      </c>
      <c r="AH106" s="324"/>
    </row>
    <row r="107" spans="1:34" ht="15.75" thickBot="1" x14ac:dyDescent="0.3">
      <c r="A107" s="330" t="s">
        <v>702</v>
      </c>
      <c r="B107" s="564" t="s">
        <v>703</v>
      </c>
      <c r="C107" s="566" t="s">
        <v>310</v>
      </c>
      <c r="D107" s="570" t="s">
        <v>704</v>
      </c>
      <c r="E107" s="566" t="s">
        <v>705</v>
      </c>
      <c r="F107" s="564" t="s">
        <v>703</v>
      </c>
      <c r="G107" s="575" t="e">
        <f>VLOOKUP(A107,'[1]Feature Summary'!$A$7:$C$4028,3,FALSE)</f>
        <v>#N/A</v>
      </c>
      <c r="H107" s="564" t="s">
        <v>706</v>
      </c>
      <c r="I107" s="437" t="s">
        <v>315</v>
      </c>
      <c r="J107" s="564" t="s">
        <v>707</v>
      </c>
      <c r="K107" s="577">
        <v>1</v>
      </c>
      <c r="L107" s="579">
        <v>96</v>
      </c>
      <c r="M107" s="582" t="s">
        <v>44</v>
      </c>
      <c r="N107" s="584">
        <v>1</v>
      </c>
      <c r="O107" s="579">
        <v>96</v>
      </c>
      <c r="P107" s="585">
        <v>1</v>
      </c>
      <c r="Q107" s="587" t="s">
        <v>48</v>
      </c>
      <c r="R107" s="579">
        <v>96</v>
      </c>
      <c r="S107" s="579">
        <v>96</v>
      </c>
      <c r="T107" s="579">
        <v>96</v>
      </c>
      <c r="U107" s="472"/>
      <c r="V107" s="472"/>
      <c r="W107" s="472"/>
      <c r="X107" s="483">
        <f t="shared" si="3"/>
        <v>1</v>
      </c>
      <c r="Y107" s="440"/>
      <c r="Z107" s="471"/>
      <c r="AA107" s="579"/>
      <c r="AB107" s="472"/>
      <c r="AC107" s="472"/>
      <c r="AD107" s="472"/>
      <c r="AE107" s="473">
        <f t="shared" si="4"/>
        <v>0</v>
      </c>
      <c r="AF107" s="323"/>
      <c r="AG107" s="589" t="e">
        <f>VLOOKUP(B107,'[1]Feature Summary'!$A$7:$U$4028,21,FALSE)</f>
        <v>#N/A</v>
      </c>
      <c r="AH107" s="324"/>
    </row>
    <row r="108" spans="1:34" ht="15.75" hidden="1" thickBot="1" x14ac:dyDescent="0.3">
      <c r="A108" s="330" t="s">
        <v>708</v>
      </c>
      <c r="B108" s="564" t="s">
        <v>709</v>
      </c>
      <c r="C108" s="566" t="s">
        <v>310</v>
      </c>
      <c r="D108" s="570" t="s">
        <v>710</v>
      </c>
      <c r="E108" s="566" t="s">
        <v>705</v>
      </c>
      <c r="F108" s="564" t="s">
        <v>711</v>
      </c>
      <c r="G108" s="575" t="e">
        <f>VLOOKUP(A108,'[1]Feature Summary'!$A$7:$C$4028,3,FALSE)</f>
        <v>#N/A</v>
      </c>
      <c r="H108" s="564" t="s">
        <v>706</v>
      </c>
      <c r="I108" s="437" t="s">
        <v>315</v>
      </c>
      <c r="J108" s="564" t="s">
        <v>707</v>
      </c>
      <c r="K108" s="577">
        <v>1</v>
      </c>
      <c r="L108" s="579">
        <v>1</v>
      </c>
      <c r="M108" s="582" t="s">
        <v>33</v>
      </c>
      <c r="N108" s="584">
        <v>1</v>
      </c>
      <c r="O108" s="579">
        <v>1</v>
      </c>
      <c r="P108" s="585">
        <v>1</v>
      </c>
      <c r="Q108" s="587" t="s">
        <v>48</v>
      </c>
      <c r="R108" s="579">
        <v>1</v>
      </c>
      <c r="S108" s="579">
        <v>1</v>
      </c>
      <c r="T108" s="579">
        <v>1</v>
      </c>
      <c r="U108" s="472"/>
      <c r="V108" s="472"/>
      <c r="W108" s="472"/>
      <c r="X108" s="483">
        <f t="shared" si="3"/>
        <v>1</v>
      </c>
      <c r="Y108" s="440"/>
      <c r="Z108" s="471"/>
      <c r="AA108" s="579"/>
      <c r="AB108" s="472"/>
      <c r="AC108" s="472"/>
      <c r="AD108" s="472"/>
      <c r="AE108" s="473">
        <f t="shared" si="4"/>
        <v>0</v>
      </c>
      <c r="AF108" s="323"/>
      <c r="AG108" s="589" t="e">
        <f>VLOOKUP(B108,'[1]Feature Summary'!$A$7:$U$4028,21,FALSE)</f>
        <v>#N/A</v>
      </c>
      <c r="AH108" s="324"/>
    </row>
    <row r="109" spans="1:34" ht="15.75" hidden="1" thickBot="1" x14ac:dyDescent="0.3">
      <c r="A109" s="330" t="s">
        <v>712</v>
      </c>
      <c r="B109" s="564" t="s">
        <v>713</v>
      </c>
      <c r="C109" s="566" t="s">
        <v>310</v>
      </c>
      <c r="D109" s="570" t="s">
        <v>710</v>
      </c>
      <c r="E109" s="566" t="s">
        <v>705</v>
      </c>
      <c r="F109" s="564" t="s">
        <v>714</v>
      </c>
      <c r="G109" s="575" t="e">
        <f>VLOOKUP(A109,'[1]Feature Summary'!$A$7:$C$4028,3,FALSE)</f>
        <v>#N/A</v>
      </c>
      <c r="H109" s="564" t="s">
        <v>706</v>
      </c>
      <c r="I109" s="437" t="s">
        <v>315</v>
      </c>
      <c r="J109" s="564" t="s">
        <v>707</v>
      </c>
      <c r="K109" s="577">
        <v>1</v>
      </c>
      <c r="L109" s="579">
        <v>1</v>
      </c>
      <c r="M109" s="582" t="s">
        <v>33</v>
      </c>
      <c r="N109" s="584">
        <v>1</v>
      </c>
      <c r="O109" s="579">
        <v>1</v>
      </c>
      <c r="P109" s="585">
        <v>1</v>
      </c>
      <c r="Q109" s="587" t="s">
        <v>48</v>
      </c>
      <c r="R109" s="579">
        <v>1</v>
      </c>
      <c r="S109" s="579">
        <v>1</v>
      </c>
      <c r="T109" s="579">
        <v>1</v>
      </c>
      <c r="U109" s="472"/>
      <c r="V109" s="472"/>
      <c r="W109" s="472"/>
      <c r="X109" s="483">
        <f t="shared" si="3"/>
        <v>1</v>
      </c>
      <c r="Y109" s="440"/>
      <c r="Z109" s="471"/>
      <c r="AA109" s="579"/>
      <c r="AB109" s="472"/>
      <c r="AC109" s="472"/>
      <c r="AD109" s="472"/>
      <c r="AE109" s="473">
        <f t="shared" si="4"/>
        <v>0</v>
      </c>
      <c r="AF109" s="323"/>
      <c r="AG109" s="589" t="e">
        <f>VLOOKUP(B109,'[1]Feature Summary'!$A$7:$U$4028,21,FALSE)</f>
        <v>#N/A</v>
      </c>
      <c r="AH109" s="324"/>
    </row>
    <row r="110" spans="1:34" ht="15.75" hidden="1" thickBot="1" x14ac:dyDescent="0.3">
      <c r="A110" s="330" t="s">
        <v>715</v>
      </c>
      <c r="B110" s="564" t="s">
        <v>716</v>
      </c>
      <c r="C110" s="566" t="s">
        <v>310</v>
      </c>
      <c r="D110" s="570" t="s">
        <v>710</v>
      </c>
      <c r="E110" s="566" t="s">
        <v>705</v>
      </c>
      <c r="F110" s="564" t="s">
        <v>717</v>
      </c>
      <c r="G110" s="575" t="e">
        <f>VLOOKUP(A110,'[1]Feature Summary'!$A$7:$C$4028,3,FALSE)</f>
        <v>#N/A</v>
      </c>
      <c r="H110" s="564" t="s">
        <v>706</v>
      </c>
      <c r="I110" s="437" t="s">
        <v>315</v>
      </c>
      <c r="J110" s="564" t="s">
        <v>707</v>
      </c>
      <c r="K110" s="577">
        <v>1</v>
      </c>
      <c r="L110" s="579">
        <v>1</v>
      </c>
      <c r="M110" s="582" t="s">
        <v>39</v>
      </c>
      <c r="N110" s="584">
        <v>1</v>
      </c>
      <c r="O110" s="579">
        <v>1</v>
      </c>
      <c r="P110" s="585">
        <v>1</v>
      </c>
      <c r="Q110" s="587" t="s">
        <v>48</v>
      </c>
      <c r="R110" s="579">
        <v>1</v>
      </c>
      <c r="S110" s="579">
        <v>1</v>
      </c>
      <c r="T110" s="579">
        <v>1</v>
      </c>
      <c r="U110" s="472"/>
      <c r="V110" s="472"/>
      <c r="W110" s="472"/>
      <c r="X110" s="483">
        <f t="shared" si="3"/>
        <v>1</v>
      </c>
      <c r="Y110" s="440"/>
      <c r="Z110" s="471"/>
      <c r="AA110" s="579"/>
      <c r="AB110" s="472"/>
      <c r="AC110" s="472"/>
      <c r="AD110" s="472"/>
      <c r="AE110" s="473">
        <f t="shared" si="4"/>
        <v>0</v>
      </c>
      <c r="AF110" s="323"/>
      <c r="AG110" s="589" t="e">
        <f>VLOOKUP(B110,'[1]Feature Summary'!$A$7:$U$4028,21,FALSE)</f>
        <v>#N/A</v>
      </c>
      <c r="AH110" s="324"/>
    </row>
    <row r="111" spans="1:34" ht="15.75" hidden="1" thickBot="1" x14ac:dyDescent="0.3">
      <c r="A111" s="330" t="s">
        <v>718</v>
      </c>
      <c r="B111" s="564" t="s">
        <v>719</v>
      </c>
      <c r="C111" s="566" t="s">
        <v>310</v>
      </c>
      <c r="D111" s="570" t="s">
        <v>710</v>
      </c>
      <c r="E111" s="566" t="s">
        <v>705</v>
      </c>
      <c r="F111" s="564" t="s">
        <v>720</v>
      </c>
      <c r="G111" s="575" t="e">
        <f>VLOOKUP(A111,'[1]Feature Summary'!$A$7:$C$4028,3,FALSE)</f>
        <v>#N/A</v>
      </c>
      <c r="H111" s="564" t="s">
        <v>706</v>
      </c>
      <c r="I111" s="437" t="s">
        <v>315</v>
      </c>
      <c r="J111" s="564" t="s">
        <v>707</v>
      </c>
      <c r="K111" s="577">
        <v>1</v>
      </c>
      <c r="L111" s="579">
        <v>1</v>
      </c>
      <c r="M111" s="582" t="s">
        <v>39</v>
      </c>
      <c r="N111" s="584">
        <v>1</v>
      </c>
      <c r="O111" s="579">
        <v>1</v>
      </c>
      <c r="P111" s="585">
        <v>1</v>
      </c>
      <c r="Q111" s="587" t="s">
        <v>48</v>
      </c>
      <c r="R111" s="579">
        <v>1</v>
      </c>
      <c r="S111" s="579">
        <v>1</v>
      </c>
      <c r="T111" s="579">
        <v>1</v>
      </c>
      <c r="U111" s="472"/>
      <c r="V111" s="472"/>
      <c r="W111" s="472"/>
      <c r="X111" s="483">
        <f t="shared" si="3"/>
        <v>1</v>
      </c>
      <c r="Y111" s="440"/>
      <c r="Z111" s="471"/>
      <c r="AA111" s="579"/>
      <c r="AB111" s="472"/>
      <c r="AC111" s="472"/>
      <c r="AD111" s="472"/>
      <c r="AE111" s="473">
        <f t="shared" si="4"/>
        <v>0</v>
      </c>
      <c r="AF111" s="323"/>
      <c r="AG111" s="589" t="e">
        <f>VLOOKUP(B111,'[1]Feature Summary'!$A$7:$U$4028,21,FALSE)</f>
        <v>#N/A</v>
      </c>
      <c r="AH111" s="324"/>
    </row>
    <row r="112" spans="1:34" ht="15.75" thickBot="1" x14ac:dyDescent="0.3">
      <c r="A112" s="330" t="s">
        <v>721</v>
      </c>
      <c r="B112" s="564" t="s">
        <v>722</v>
      </c>
      <c r="C112" s="566" t="s">
        <v>310</v>
      </c>
      <c r="D112" s="570" t="s">
        <v>723</v>
      </c>
      <c r="E112" s="566" t="s">
        <v>724</v>
      </c>
      <c r="F112" s="564" t="s">
        <v>725</v>
      </c>
      <c r="G112" s="575" t="e">
        <f>VLOOKUP(A112,'[1]Feature Summary'!$A$7:$C$4028,3,FALSE)</f>
        <v>#N/A</v>
      </c>
      <c r="H112" s="564" t="s">
        <v>726</v>
      </c>
      <c r="I112" s="437" t="s">
        <v>315</v>
      </c>
      <c r="J112" s="564"/>
      <c r="K112" s="577">
        <v>1</v>
      </c>
      <c r="L112" s="579">
        <v>6</v>
      </c>
      <c r="M112" s="582" t="s">
        <v>39</v>
      </c>
      <c r="N112" s="584">
        <v>1</v>
      </c>
      <c r="O112" s="579">
        <v>6</v>
      </c>
      <c r="P112" s="585">
        <v>1</v>
      </c>
      <c r="Q112" s="587" t="s">
        <v>48</v>
      </c>
      <c r="R112" s="579">
        <v>6</v>
      </c>
      <c r="S112" s="579">
        <v>6</v>
      </c>
      <c r="T112" s="579">
        <v>6</v>
      </c>
      <c r="U112" s="472"/>
      <c r="V112" s="472"/>
      <c r="W112" s="472"/>
      <c r="X112" s="483">
        <f t="shared" si="3"/>
        <v>1</v>
      </c>
      <c r="Y112" s="440"/>
      <c r="Z112" s="471"/>
      <c r="AA112" s="472"/>
      <c r="AB112" s="472"/>
      <c r="AC112" s="472"/>
      <c r="AD112" s="472"/>
      <c r="AE112" s="473">
        <f t="shared" si="4"/>
        <v>0</v>
      </c>
      <c r="AF112" s="323"/>
      <c r="AG112" s="589" t="e">
        <f>VLOOKUP(B112,'[1]Feature Summary'!$A$7:$U$4028,21,FALSE)</f>
        <v>#N/A</v>
      </c>
      <c r="AH112" s="324"/>
    </row>
    <row r="113" spans="1:34" ht="15.75" thickBot="1" x14ac:dyDescent="0.3">
      <c r="A113" s="330" t="s">
        <v>727</v>
      </c>
      <c r="B113" s="564" t="s">
        <v>728</v>
      </c>
      <c r="C113" s="566" t="s">
        <v>310</v>
      </c>
      <c r="D113" s="570" t="s">
        <v>729</v>
      </c>
      <c r="E113" s="566" t="s">
        <v>730</v>
      </c>
      <c r="F113" s="564" t="s">
        <v>731</v>
      </c>
      <c r="G113" s="575" t="e">
        <f>VLOOKUP(A113,'[1]Feature Summary'!$A$7:$C$4028,3,FALSE)</f>
        <v>#N/A</v>
      </c>
      <c r="H113" s="564" t="s">
        <v>732</v>
      </c>
      <c r="I113" s="437" t="s">
        <v>35</v>
      </c>
      <c r="J113" s="564" t="s">
        <v>47</v>
      </c>
      <c r="K113" s="577">
        <v>1</v>
      </c>
      <c r="L113" s="579">
        <v>4</v>
      </c>
      <c r="M113" s="582" t="s">
        <v>39</v>
      </c>
      <c r="N113" s="584">
        <v>1</v>
      </c>
      <c r="O113" s="579">
        <v>4</v>
      </c>
      <c r="P113" s="585">
        <v>1</v>
      </c>
      <c r="Q113" s="587" t="s">
        <v>38</v>
      </c>
      <c r="R113" s="579">
        <v>4</v>
      </c>
      <c r="S113" s="579">
        <v>4</v>
      </c>
      <c r="T113" s="579">
        <v>4</v>
      </c>
      <c r="U113" s="472"/>
      <c r="V113" s="472"/>
      <c r="W113" s="472"/>
      <c r="X113" s="483">
        <f t="shared" si="3"/>
        <v>1</v>
      </c>
      <c r="Y113" s="440"/>
      <c r="Z113" s="471"/>
      <c r="AA113" s="472"/>
      <c r="AB113" s="472"/>
      <c r="AC113" s="472"/>
      <c r="AD113" s="472"/>
      <c r="AE113" s="473">
        <f t="shared" si="4"/>
        <v>0</v>
      </c>
      <c r="AF113" s="323"/>
      <c r="AG113" s="589" t="e">
        <f>VLOOKUP(B113,'[1]Feature Summary'!$A$7:$U$4028,21,FALSE)</f>
        <v>#N/A</v>
      </c>
      <c r="AH113" s="324"/>
    </row>
    <row r="114" spans="1:34" ht="15.75" hidden="1" thickBot="1" x14ac:dyDescent="0.3">
      <c r="A114" s="330" t="s">
        <v>733</v>
      </c>
      <c r="B114" s="565" t="s">
        <v>734</v>
      </c>
      <c r="C114" s="566" t="s">
        <v>310</v>
      </c>
      <c r="D114" s="573" t="s">
        <v>735</v>
      </c>
      <c r="E114" s="566"/>
      <c r="F114" s="565" t="s">
        <v>734</v>
      </c>
      <c r="G114" s="575" t="e">
        <f>VLOOKUP(A114,'[1]Feature Summary'!$A$7:$C$4028,3,FALSE)</f>
        <v>#N/A</v>
      </c>
      <c r="H114" s="564" t="s">
        <v>736</v>
      </c>
      <c r="I114" s="437" t="s">
        <v>315</v>
      </c>
      <c r="J114" s="564"/>
      <c r="K114" s="577">
        <v>1</v>
      </c>
      <c r="L114" s="579">
        <v>1</v>
      </c>
      <c r="M114" s="582" t="s">
        <v>33</v>
      </c>
      <c r="N114" s="584">
        <v>1</v>
      </c>
      <c r="O114" s="579">
        <v>1</v>
      </c>
      <c r="P114" s="585">
        <v>1</v>
      </c>
      <c r="Q114" s="587" t="s">
        <v>48</v>
      </c>
      <c r="R114" s="579">
        <v>1</v>
      </c>
      <c r="S114" s="579">
        <v>1</v>
      </c>
      <c r="T114" s="579">
        <v>1</v>
      </c>
      <c r="U114" s="472"/>
      <c r="V114" s="472"/>
      <c r="W114" s="472"/>
      <c r="X114" s="483">
        <f t="shared" si="3"/>
        <v>1</v>
      </c>
      <c r="Y114" s="440"/>
      <c r="Z114" s="471"/>
      <c r="AA114" s="472"/>
      <c r="AB114" s="472"/>
      <c r="AC114" s="472"/>
      <c r="AD114" s="472"/>
      <c r="AE114" s="473">
        <f t="shared" si="4"/>
        <v>0</v>
      </c>
      <c r="AF114" s="323"/>
      <c r="AG114" s="589" t="e">
        <f>VLOOKUP(B114,'[1]Feature Summary'!$A$7:$U$4028,21,FALSE)</f>
        <v>#N/A</v>
      </c>
      <c r="AH114" s="324"/>
    </row>
    <row r="115" spans="1:34" ht="15.75" hidden="1" thickBot="1" x14ac:dyDescent="0.3">
      <c r="A115" s="330" t="s">
        <v>737</v>
      </c>
      <c r="B115" s="565" t="s">
        <v>738</v>
      </c>
      <c r="C115" s="566" t="s">
        <v>310</v>
      </c>
      <c r="D115" s="573" t="s">
        <v>735</v>
      </c>
      <c r="E115" s="566"/>
      <c r="F115" s="565" t="s">
        <v>739</v>
      </c>
      <c r="G115" s="575" t="e">
        <f>VLOOKUP(A115,'[1]Feature Summary'!$A$7:$C$4028,3,FALSE)</f>
        <v>#N/A</v>
      </c>
      <c r="H115" s="564" t="s">
        <v>740</v>
      </c>
      <c r="I115" s="437" t="s">
        <v>315</v>
      </c>
      <c r="J115" s="564"/>
      <c r="K115" s="577">
        <v>1</v>
      </c>
      <c r="L115" s="579">
        <v>1</v>
      </c>
      <c r="M115" s="582" t="s">
        <v>33</v>
      </c>
      <c r="N115" s="584">
        <v>1</v>
      </c>
      <c r="O115" s="579">
        <v>1</v>
      </c>
      <c r="P115" s="585">
        <v>1</v>
      </c>
      <c r="Q115" s="587" t="s">
        <v>48</v>
      </c>
      <c r="R115" s="579">
        <v>1</v>
      </c>
      <c r="S115" s="579">
        <v>1</v>
      </c>
      <c r="T115" s="579">
        <v>1</v>
      </c>
      <c r="U115" s="472"/>
      <c r="V115" s="472"/>
      <c r="W115" s="472"/>
      <c r="X115" s="483">
        <f t="shared" si="3"/>
        <v>1</v>
      </c>
      <c r="Y115" s="440"/>
      <c r="Z115" s="471"/>
      <c r="AA115" s="472"/>
      <c r="AB115" s="472"/>
      <c r="AC115" s="472"/>
      <c r="AD115" s="472"/>
      <c r="AE115" s="473">
        <f t="shared" si="4"/>
        <v>0</v>
      </c>
      <c r="AF115" s="323"/>
      <c r="AG115" s="589" t="e">
        <f>VLOOKUP(B115,'[1]Feature Summary'!$A$7:$U$4028,21,FALSE)</f>
        <v>#N/A</v>
      </c>
      <c r="AH115" s="324"/>
    </row>
    <row r="116" spans="1:34" ht="15.75" hidden="1" thickBot="1" x14ac:dyDescent="0.3">
      <c r="A116" s="330" t="s">
        <v>737</v>
      </c>
      <c r="B116" s="565" t="s">
        <v>738</v>
      </c>
      <c r="C116" s="566" t="s">
        <v>310</v>
      </c>
      <c r="D116" s="573" t="s">
        <v>735</v>
      </c>
      <c r="E116" s="566"/>
      <c r="F116" s="565" t="s">
        <v>741</v>
      </c>
      <c r="G116" s="575" t="e">
        <f>VLOOKUP(A116,'[1]Feature Summary'!$A$7:$C$4028,3,FALSE)</f>
        <v>#N/A</v>
      </c>
      <c r="H116" s="564" t="s">
        <v>742</v>
      </c>
      <c r="I116" s="437" t="s">
        <v>315</v>
      </c>
      <c r="J116" s="564"/>
      <c r="K116" s="577">
        <v>1</v>
      </c>
      <c r="L116" s="579">
        <v>1</v>
      </c>
      <c r="M116" s="582" t="s">
        <v>33</v>
      </c>
      <c r="N116" s="584">
        <v>1</v>
      </c>
      <c r="O116" s="579">
        <v>1</v>
      </c>
      <c r="P116" s="585">
        <v>1</v>
      </c>
      <c r="Q116" s="587" t="s">
        <v>48</v>
      </c>
      <c r="R116" s="579">
        <v>1</v>
      </c>
      <c r="S116" s="579">
        <v>1</v>
      </c>
      <c r="T116" s="579">
        <v>1</v>
      </c>
      <c r="U116" s="472"/>
      <c r="V116" s="472"/>
      <c r="W116" s="472"/>
      <c r="X116" s="483">
        <f t="shared" si="3"/>
        <v>1</v>
      </c>
      <c r="Y116" s="440"/>
      <c r="Z116" s="471"/>
      <c r="AA116" s="472"/>
      <c r="AB116" s="472"/>
      <c r="AC116" s="472"/>
      <c r="AD116" s="472"/>
      <c r="AE116" s="473">
        <f t="shared" si="4"/>
        <v>0</v>
      </c>
      <c r="AF116" s="323"/>
      <c r="AG116" s="589" t="e">
        <f>VLOOKUP(B116,'[1]Feature Summary'!$A$7:$U$4028,21,FALSE)</f>
        <v>#N/A</v>
      </c>
      <c r="AH116" s="324"/>
    </row>
    <row r="117" spans="1:34" ht="15.75" hidden="1" thickBot="1" x14ac:dyDescent="0.3">
      <c r="A117" s="330" t="s">
        <v>743</v>
      </c>
      <c r="B117" s="565" t="s">
        <v>744</v>
      </c>
      <c r="C117" s="566" t="s">
        <v>310</v>
      </c>
      <c r="D117" s="573" t="s">
        <v>735</v>
      </c>
      <c r="E117" s="566"/>
      <c r="F117" s="565" t="s">
        <v>745</v>
      </c>
      <c r="G117" s="575" t="e">
        <f>VLOOKUP(A117,'[1]Feature Summary'!$A$7:$C$4028,3,FALSE)</f>
        <v>#N/A</v>
      </c>
      <c r="H117" s="564" t="s">
        <v>746</v>
      </c>
      <c r="I117" s="437" t="s">
        <v>315</v>
      </c>
      <c r="J117" s="564"/>
      <c r="K117" s="577">
        <v>1</v>
      </c>
      <c r="L117" s="579">
        <v>1</v>
      </c>
      <c r="M117" s="582" t="s">
        <v>33</v>
      </c>
      <c r="N117" s="584">
        <v>1</v>
      </c>
      <c r="O117" s="579">
        <v>1</v>
      </c>
      <c r="P117" s="585">
        <v>1</v>
      </c>
      <c r="Q117" s="587" t="s">
        <v>48</v>
      </c>
      <c r="R117" s="579">
        <v>1</v>
      </c>
      <c r="S117" s="579">
        <v>1</v>
      </c>
      <c r="T117" s="579">
        <v>1</v>
      </c>
      <c r="U117" s="472"/>
      <c r="V117" s="472"/>
      <c r="W117" s="472"/>
      <c r="X117" s="483">
        <f t="shared" si="3"/>
        <v>1</v>
      </c>
      <c r="Y117" s="440"/>
      <c r="Z117" s="471"/>
      <c r="AA117" s="472"/>
      <c r="AB117" s="472"/>
      <c r="AC117" s="472"/>
      <c r="AD117" s="472"/>
      <c r="AE117" s="473">
        <f t="shared" si="4"/>
        <v>0</v>
      </c>
      <c r="AF117" s="323"/>
      <c r="AG117" s="589" t="e">
        <f>VLOOKUP(B117,'[1]Feature Summary'!$A$7:$U$4028,21,FALSE)</f>
        <v>#N/A</v>
      </c>
      <c r="AH117" s="324"/>
    </row>
    <row r="118" spans="1:34" ht="30.75" hidden="1" thickBot="1" x14ac:dyDescent="0.3">
      <c r="A118" s="330" t="s">
        <v>747</v>
      </c>
      <c r="B118" s="565" t="s">
        <v>748</v>
      </c>
      <c r="C118" s="566" t="s">
        <v>310</v>
      </c>
      <c r="D118" s="573" t="s">
        <v>735</v>
      </c>
      <c r="E118" s="566"/>
      <c r="F118" s="565" t="s">
        <v>749</v>
      </c>
      <c r="G118" s="575" t="e">
        <f>VLOOKUP(A118,'[1]Feature Summary'!$A$7:$C$4028,3,FALSE)</f>
        <v>#N/A</v>
      </c>
      <c r="H118" s="564" t="s">
        <v>750</v>
      </c>
      <c r="I118" s="437" t="s">
        <v>315</v>
      </c>
      <c r="J118" s="564"/>
      <c r="K118" s="577">
        <v>1</v>
      </c>
      <c r="L118" s="579">
        <v>1</v>
      </c>
      <c r="M118" s="582" t="s">
        <v>33</v>
      </c>
      <c r="N118" s="584">
        <v>1</v>
      </c>
      <c r="O118" s="579">
        <v>1</v>
      </c>
      <c r="P118" s="585">
        <v>1</v>
      </c>
      <c r="Q118" s="587" t="s">
        <v>48</v>
      </c>
      <c r="R118" s="579">
        <v>1</v>
      </c>
      <c r="S118" s="579">
        <v>1</v>
      </c>
      <c r="T118" s="579">
        <v>1</v>
      </c>
      <c r="U118" s="472"/>
      <c r="V118" s="472"/>
      <c r="W118" s="472"/>
      <c r="X118" s="483">
        <f t="shared" si="3"/>
        <v>1</v>
      </c>
      <c r="Y118" s="440"/>
      <c r="Z118" s="471"/>
      <c r="AA118" s="472"/>
      <c r="AB118" s="472"/>
      <c r="AC118" s="472"/>
      <c r="AD118" s="472"/>
      <c r="AE118" s="473">
        <f t="shared" si="4"/>
        <v>0</v>
      </c>
      <c r="AF118" s="323"/>
      <c r="AG118" s="589" t="e">
        <f>VLOOKUP(B118,'[1]Feature Summary'!$A$7:$U$4028,21,FALSE)</f>
        <v>#N/A</v>
      </c>
      <c r="AH118" s="324"/>
    </row>
    <row r="119" spans="1:34" ht="15.75" hidden="1" thickBot="1" x14ac:dyDescent="0.3">
      <c r="A119" s="330" t="s">
        <v>751</v>
      </c>
      <c r="B119" s="565" t="s">
        <v>752</v>
      </c>
      <c r="C119" s="566" t="s">
        <v>310</v>
      </c>
      <c r="D119" s="573" t="s">
        <v>735</v>
      </c>
      <c r="E119" s="566"/>
      <c r="F119" s="565" t="s">
        <v>752</v>
      </c>
      <c r="G119" s="575" t="e">
        <f>VLOOKUP(A119,'[1]Feature Summary'!$A$7:$C$4028,3,FALSE)</f>
        <v>#N/A</v>
      </c>
      <c r="H119" s="564"/>
      <c r="I119" s="437" t="s">
        <v>315</v>
      </c>
      <c r="J119" s="564"/>
      <c r="K119" s="577">
        <v>1</v>
      </c>
      <c r="L119" s="579">
        <v>1</v>
      </c>
      <c r="M119" s="582" t="s">
        <v>33</v>
      </c>
      <c r="N119" s="584">
        <v>1</v>
      </c>
      <c r="O119" s="579">
        <v>1</v>
      </c>
      <c r="P119" s="585">
        <v>1</v>
      </c>
      <c r="Q119" s="587" t="s">
        <v>48</v>
      </c>
      <c r="R119" s="579">
        <v>1</v>
      </c>
      <c r="S119" s="579">
        <v>1</v>
      </c>
      <c r="T119" s="579">
        <v>1</v>
      </c>
      <c r="U119" s="472"/>
      <c r="V119" s="472"/>
      <c r="W119" s="472"/>
      <c r="X119" s="483">
        <f t="shared" si="3"/>
        <v>1</v>
      </c>
      <c r="Y119" s="440"/>
      <c r="Z119" s="471"/>
      <c r="AA119" s="472"/>
      <c r="AB119" s="472"/>
      <c r="AC119" s="472"/>
      <c r="AD119" s="472"/>
      <c r="AE119" s="473">
        <f t="shared" si="4"/>
        <v>0</v>
      </c>
      <c r="AF119" s="323"/>
      <c r="AG119" s="589" t="e">
        <f>VLOOKUP(B119,'[1]Feature Summary'!$A$7:$U$4028,21,FALSE)</f>
        <v>#N/A</v>
      </c>
      <c r="AH119" s="324"/>
    </row>
    <row r="120" spans="1:34" ht="15.75" hidden="1" thickBot="1" x14ac:dyDescent="0.3">
      <c r="A120" s="330" t="s">
        <v>753</v>
      </c>
      <c r="B120" s="565" t="s">
        <v>754</v>
      </c>
      <c r="C120" s="566" t="s">
        <v>310</v>
      </c>
      <c r="D120" s="573" t="s">
        <v>735</v>
      </c>
      <c r="E120" s="566"/>
      <c r="F120" s="565" t="s">
        <v>755</v>
      </c>
      <c r="G120" s="575" t="e">
        <f>VLOOKUP(A120,'[1]Feature Summary'!$A$7:$C$4028,3,FALSE)</f>
        <v>#N/A</v>
      </c>
      <c r="H120" s="564"/>
      <c r="I120" s="437" t="s">
        <v>315</v>
      </c>
      <c r="J120" s="564"/>
      <c r="K120" s="577">
        <v>1</v>
      </c>
      <c r="L120" s="579">
        <v>1</v>
      </c>
      <c r="M120" s="582" t="s">
        <v>33</v>
      </c>
      <c r="N120" s="584">
        <v>1</v>
      </c>
      <c r="O120" s="579">
        <v>1</v>
      </c>
      <c r="P120" s="585">
        <v>1</v>
      </c>
      <c r="Q120" s="587" t="s">
        <v>48</v>
      </c>
      <c r="R120" s="579">
        <v>1</v>
      </c>
      <c r="S120" s="579">
        <v>1</v>
      </c>
      <c r="T120" s="579">
        <v>1</v>
      </c>
      <c r="U120" s="472"/>
      <c r="V120" s="472"/>
      <c r="W120" s="472"/>
      <c r="X120" s="483">
        <f t="shared" si="3"/>
        <v>1</v>
      </c>
      <c r="Y120" s="440"/>
      <c r="Z120" s="471"/>
      <c r="AA120" s="472"/>
      <c r="AB120" s="472"/>
      <c r="AC120" s="472"/>
      <c r="AD120" s="472"/>
      <c r="AE120" s="473">
        <f t="shared" si="4"/>
        <v>0</v>
      </c>
      <c r="AF120" s="323"/>
      <c r="AG120" s="589" t="e">
        <f>VLOOKUP(B120,'[1]Feature Summary'!$A$7:$U$4028,21,FALSE)</f>
        <v>#N/A</v>
      </c>
      <c r="AH120" s="324"/>
    </row>
    <row r="121" spans="1:34" ht="15.75" hidden="1" thickBot="1" x14ac:dyDescent="0.3">
      <c r="A121" s="330" t="s">
        <v>756</v>
      </c>
      <c r="B121" s="565" t="s">
        <v>757</v>
      </c>
      <c r="C121" s="566" t="s">
        <v>310</v>
      </c>
      <c r="D121" s="573" t="s">
        <v>735</v>
      </c>
      <c r="E121" s="566"/>
      <c r="F121" s="565" t="s">
        <v>734</v>
      </c>
      <c r="G121" s="575" t="e">
        <f>VLOOKUP(A121,'[1]Feature Summary'!$A$7:$C$4028,3,FALSE)</f>
        <v>#N/A</v>
      </c>
      <c r="H121" s="564" t="s">
        <v>736</v>
      </c>
      <c r="I121" s="437" t="s">
        <v>315</v>
      </c>
      <c r="J121" s="564"/>
      <c r="K121" s="577">
        <v>1</v>
      </c>
      <c r="L121" s="579">
        <v>1</v>
      </c>
      <c r="M121" s="582" t="s">
        <v>33</v>
      </c>
      <c r="N121" s="584">
        <v>1</v>
      </c>
      <c r="O121" s="579">
        <v>1</v>
      </c>
      <c r="P121" s="585">
        <v>1</v>
      </c>
      <c r="Q121" s="587" t="s">
        <v>48</v>
      </c>
      <c r="R121" s="579">
        <v>1</v>
      </c>
      <c r="S121" s="579">
        <v>1</v>
      </c>
      <c r="T121" s="579">
        <v>1</v>
      </c>
      <c r="U121" s="472"/>
      <c r="V121" s="472"/>
      <c r="W121" s="472"/>
      <c r="X121" s="483">
        <f t="shared" si="3"/>
        <v>1</v>
      </c>
      <c r="Y121" s="440"/>
      <c r="Z121" s="471"/>
      <c r="AA121" s="472"/>
      <c r="AB121" s="472"/>
      <c r="AC121" s="472"/>
      <c r="AD121" s="472"/>
      <c r="AE121" s="473">
        <f t="shared" si="4"/>
        <v>0</v>
      </c>
      <c r="AF121" s="323"/>
      <c r="AG121" s="589" t="e">
        <f>VLOOKUP(B121,'[1]Feature Summary'!$A$7:$U$4028,21,FALSE)</f>
        <v>#N/A</v>
      </c>
      <c r="AH121" s="324"/>
    </row>
    <row r="122" spans="1:34" ht="15.75" hidden="1" thickBot="1" x14ac:dyDescent="0.3">
      <c r="A122" s="330" t="s">
        <v>758</v>
      </c>
      <c r="B122" s="565" t="s">
        <v>759</v>
      </c>
      <c r="C122" s="566" t="s">
        <v>310</v>
      </c>
      <c r="D122" s="573" t="s">
        <v>760</v>
      </c>
      <c r="E122" s="566" t="s">
        <v>761</v>
      </c>
      <c r="F122" s="565" t="s">
        <v>762</v>
      </c>
      <c r="G122" s="575" t="e">
        <f>VLOOKUP(A122,'[1]Feature Summary'!$A$7:$C$4028,3,FALSE)</f>
        <v>#N/A</v>
      </c>
      <c r="H122" s="564" t="s">
        <v>763</v>
      </c>
      <c r="I122" s="437" t="s">
        <v>315</v>
      </c>
      <c r="J122" s="564"/>
      <c r="K122" s="577">
        <v>1</v>
      </c>
      <c r="L122" s="579">
        <v>1</v>
      </c>
      <c r="M122" s="582" t="s">
        <v>33</v>
      </c>
      <c r="N122" s="584">
        <v>1</v>
      </c>
      <c r="O122" s="579">
        <v>1</v>
      </c>
      <c r="P122" s="585">
        <v>1</v>
      </c>
      <c r="Q122" s="587" t="s">
        <v>48</v>
      </c>
      <c r="R122" s="579">
        <v>1</v>
      </c>
      <c r="S122" s="579">
        <v>1</v>
      </c>
      <c r="T122" s="579">
        <v>1</v>
      </c>
      <c r="U122" s="472"/>
      <c r="V122" s="472"/>
      <c r="W122" s="472"/>
      <c r="X122" s="483">
        <f t="shared" si="3"/>
        <v>1</v>
      </c>
      <c r="Y122" s="440"/>
      <c r="Z122" s="471"/>
      <c r="AA122" s="472"/>
      <c r="AB122" s="472"/>
      <c r="AC122" s="472"/>
      <c r="AD122" s="472"/>
      <c r="AE122" s="473">
        <f t="shared" si="4"/>
        <v>0</v>
      </c>
      <c r="AF122" s="323"/>
      <c r="AG122" s="589" t="e">
        <f>VLOOKUP(B122,'[1]Feature Summary'!$A$7:$U$4028,21,FALSE)</f>
        <v>#N/A</v>
      </c>
      <c r="AH122" s="324"/>
    </row>
    <row r="123" spans="1:34" ht="15.75" hidden="1" thickBot="1" x14ac:dyDescent="0.3">
      <c r="A123" s="330" t="s">
        <v>764</v>
      </c>
      <c r="B123" s="565" t="s">
        <v>765</v>
      </c>
      <c r="C123" s="566" t="s">
        <v>310</v>
      </c>
      <c r="D123" s="573" t="s">
        <v>760</v>
      </c>
      <c r="E123" s="566" t="s">
        <v>766</v>
      </c>
      <c r="F123" s="565" t="s">
        <v>767</v>
      </c>
      <c r="G123" s="575" t="e">
        <f>VLOOKUP(A123,'[1]Feature Summary'!$A$7:$C$4028,3,FALSE)</f>
        <v>#N/A</v>
      </c>
      <c r="H123" s="564" t="s">
        <v>768</v>
      </c>
      <c r="I123" s="437" t="s">
        <v>315</v>
      </c>
      <c r="J123" s="564"/>
      <c r="K123" s="577">
        <v>1</v>
      </c>
      <c r="L123" s="579">
        <v>1</v>
      </c>
      <c r="M123" s="582" t="s">
        <v>33</v>
      </c>
      <c r="N123" s="584">
        <v>1</v>
      </c>
      <c r="O123" s="579">
        <v>1</v>
      </c>
      <c r="P123" s="585">
        <v>1</v>
      </c>
      <c r="Q123" s="587" t="s">
        <v>48</v>
      </c>
      <c r="R123" s="579">
        <v>1</v>
      </c>
      <c r="S123" s="579">
        <v>1</v>
      </c>
      <c r="T123" s="579">
        <v>1</v>
      </c>
      <c r="U123" s="472"/>
      <c r="V123" s="472"/>
      <c r="W123" s="472"/>
      <c r="X123" s="483">
        <f t="shared" si="3"/>
        <v>1</v>
      </c>
      <c r="Y123" s="440"/>
      <c r="Z123" s="471"/>
      <c r="AA123" s="472"/>
      <c r="AB123" s="472"/>
      <c r="AC123" s="472"/>
      <c r="AD123" s="472"/>
      <c r="AE123" s="473">
        <f t="shared" si="4"/>
        <v>0</v>
      </c>
      <c r="AF123" s="323"/>
      <c r="AG123" s="589" t="e">
        <f>VLOOKUP(B123,'[1]Feature Summary'!$A$7:$U$4028,21,FALSE)</f>
        <v>#N/A</v>
      </c>
      <c r="AH123" s="324"/>
    </row>
    <row r="124" spans="1:34" ht="15.75" hidden="1" thickBot="1" x14ac:dyDescent="0.3">
      <c r="A124" s="330" t="s">
        <v>769</v>
      </c>
      <c r="B124" s="565" t="s">
        <v>770</v>
      </c>
      <c r="C124" s="566" t="s">
        <v>310</v>
      </c>
      <c r="D124" s="573" t="s">
        <v>760</v>
      </c>
      <c r="E124" s="566" t="s">
        <v>771</v>
      </c>
      <c r="F124" s="565" t="s">
        <v>772</v>
      </c>
      <c r="G124" s="575" t="e">
        <f>VLOOKUP(A124,'[1]Feature Summary'!$A$7:$C$4028,3,FALSE)</f>
        <v>#N/A</v>
      </c>
      <c r="H124" s="564" t="s">
        <v>773</v>
      </c>
      <c r="I124" s="437" t="s">
        <v>315</v>
      </c>
      <c r="J124" s="564"/>
      <c r="K124" s="577">
        <v>1</v>
      </c>
      <c r="L124" s="579">
        <v>1</v>
      </c>
      <c r="M124" s="582" t="s">
        <v>33</v>
      </c>
      <c r="N124" s="584">
        <v>1</v>
      </c>
      <c r="O124" s="579">
        <v>1</v>
      </c>
      <c r="P124" s="585">
        <v>1</v>
      </c>
      <c r="Q124" s="587" t="s">
        <v>48</v>
      </c>
      <c r="R124" s="579">
        <v>1</v>
      </c>
      <c r="S124" s="579">
        <v>1</v>
      </c>
      <c r="T124" s="579">
        <v>1</v>
      </c>
      <c r="U124" s="472"/>
      <c r="V124" s="472"/>
      <c r="W124" s="472"/>
      <c r="X124" s="483">
        <f t="shared" si="3"/>
        <v>1</v>
      </c>
      <c r="Y124" s="440"/>
      <c r="Z124" s="471"/>
      <c r="AA124" s="472"/>
      <c r="AB124" s="472"/>
      <c r="AC124" s="472"/>
      <c r="AD124" s="472"/>
      <c r="AE124" s="473">
        <f t="shared" si="4"/>
        <v>0</v>
      </c>
      <c r="AF124" s="323"/>
      <c r="AG124" s="589" t="e">
        <f>VLOOKUP(B124,'[1]Feature Summary'!$A$7:$U$4028,21,FALSE)</f>
        <v>#N/A</v>
      </c>
      <c r="AH124" s="324"/>
    </row>
    <row r="125" spans="1:34" ht="15.75" hidden="1" thickBot="1" x14ac:dyDescent="0.3">
      <c r="A125" s="330" t="s">
        <v>774</v>
      </c>
      <c r="B125" s="565" t="s">
        <v>775</v>
      </c>
      <c r="C125" s="566" t="s">
        <v>310</v>
      </c>
      <c r="D125" s="573" t="s">
        <v>760</v>
      </c>
      <c r="E125" s="566" t="s">
        <v>761</v>
      </c>
      <c r="F125" s="565" t="s">
        <v>767</v>
      </c>
      <c r="G125" s="575" t="e">
        <f>VLOOKUP(A125,'[1]Feature Summary'!$A$7:$C$4028,3,FALSE)</f>
        <v>#N/A</v>
      </c>
      <c r="H125" s="564" t="s">
        <v>763</v>
      </c>
      <c r="I125" s="437" t="s">
        <v>315</v>
      </c>
      <c r="J125" s="564"/>
      <c r="K125" s="577">
        <v>1</v>
      </c>
      <c r="L125" s="579">
        <v>1</v>
      </c>
      <c r="M125" s="582" t="s">
        <v>33</v>
      </c>
      <c r="N125" s="584">
        <v>1</v>
      </c>
      <c r="O125" s="579">
        <v>1</v>
      </c>
      <c r="P125" s="585">
        <v>1</v>
      </c>
      <c r="Q125" s="587" t="s">
        <v>48</v>
      </c>
      <c r="R125" s="579">
        <v>1</v>
      </c>
      <c r="S125" s="579">
        <v>1</v>
      </c>
      <c r="T125" s="579">
        <v>1</v>
      </c>
      <c r="U125" s="472"/>
      <c r="V125" s="472"/>
      <c r="W125" s="472"/>
      <c r="X125" s="483">
        <f t="shared" si="3"/>
        <v>1</v>
      </c>
      <c r="Y125" s="440"/>
      <c r="Z125" s="471"/>
      <c r="AA125" s="472"/>
      <c r="AB125" s="472"/>
      <c r="AC125" s="472"/>
      <c r="AD125" s="472"/>
      <c r="AE125" s="473">
        <f t="shared" si="4"/>
        <v>0</v>
      </c>
      <c r="AF125" s="323"/>
      <c r="AG125" s="589" t="e">
        <f>VLOOKUP(B125,'[1]Feature Summary'!$A$7:$U$4028,21,FALSE)</f>
        <v>#N/A</v>
      </c>
      <c r="AH125" s="324"/>
    </row>
    <row r="126" spans="1:34" ht="15.75" hidden="1" thickBot="1" x14ac:dyDescent="0.3">
      <c r="A126" s="330" t="s">
        <v>776</v>
      </c>
      <c r="B126" s="565" t="s">
        <v>777</v>
      </c>
      <c r="C126" s="566" t="s">
        <v>310</v>
      </c>
      <c r="D126" s="573" t="s">
        <v>760</v>
      </c>
      <c r="E126" s="566" t="s">
        <v>778</v>
      </c>
      <c r="F126" s="565" t="s">
        <v>779</v>
      </c>
      <c r="G126" s="575" t="e">
        <f>VLOOKUP(A126,'[1]Feature Summary'!$A$7:$C$4028,3,FALSE)</f>
        <v>#N/A</v>
      </c>
      <c r="H126" s="564" t="s">
        <v>780</v>
      </c>
      <c r="I126" s="437" t="s">
        <v>315</v>
      </c>
      <c r="J126" s="564"/>
      <c r="K126" s="577">
        <v>1</v>
      </c>
      <c r="L126" s="579">
        <v>1</v>
      </c>
      <c r="M126" s="582" t="s">
        <v>33</v>
      </c>
      <c r="N126" s="584">
        <v>1</v>
      </c>
      <c r="O126" s="579">
        <v>1</v>
      </c>
      <c r="P126" s="585">
        <v>1</v>
      </c>
      <c r="Q126" s="587" t="s">
        <v>48</v>
      </c>
      <c r="R126" s="579">
        <v>1</v>
      </c>
      <c r="S126" s="579">
        <v>1</v>
      </c>
      <c r="T126" s="579">
        <v>1</v>
      </c>
      <c r="U126" s="472"/>
      <c r="V126" s="472"/>
      <c r="W126" s="472"/>
      <c r="X126" s="483">
        <f t="shared" si="3"/>
        <v>1</v>
      </c>
      <c r="Y126" s="440"/>
      <c r="Z126" s="471"/>
      <c r="AA126" s="472"/>
      <c r="AB126" s="472"/>
      <c r="AC126" s="472"/>
      <c r="AD126" s="472"/>
      <c r="AE126" s="473">
        <f t="shared" si="4"/>
        <v>0</v>
      </c>
      <c r="AF126" s="323"/>
      <c r="AG126" s="589" t="e">
        <f>VLOOKUP(B126,'[1]Feature Summary'!$A$7:$U$4028,21,FALSE)</f>
        <v>#N/A</v>
      </c>
      <c r="AH126" s="324"/>
    </row>
    <row r="127" spans="1:34" ht="15.75" hidden="1" thickBot="1" x14ac:dyDescent="0.3">
      <c r="A127" s="330" t="s">
        <v>781</v>
      </c>
      <c r="B127" s="565" t="s">
        <v>782</v>
      </c>
      <c r="C127" s="566" t="s">
        <v>310</v>
      </c>
      <c r="D127" s="573" t="s">
        <v>760</v>
      </c>
      <c r="E127" s="566" t="s">
        <v>312</v>
      </c>
      <c r="F127" s="565" t="s">
        <v>783</v>
      </c>
      <c r="G127" s="575" t="e">
        <f>VLOOKUP(A127,'[1]Feature Summary'!$A$7:$C$4028,3,FALSE)</f>
        <v>#N/A</v>
      </c>
      <c r="H127" s="564" t="s">
        <v>312</v>
      </c>
      <c r="I127" s="437" t="s">
        <v>315</v>
      </c>
      <c r="J127" s="564"/>
      <c r="K127" s="577">
        <v>1</v>
      </c>
      <c r="L127" s="579">
        <v>1</v>
      </c>
      <c r="M127" s="582" t="s">
        <v>33</v>
      </c>
      <c r="N127" s="584">
        <v>1</v>
      </c>
      <c r="O127" s="579">
        <v>1</v>
      </c>
      <c r="P127" s="585">
        <v>1</v>
      </c>
      <c r="Q127" s="587" t="s">
        <v>48</v>
      </c>
      <c r="R127" s="579">
        <v>1</v>
      </c>
      <c r="S127" s="579">
        <v>1</v>
      </c>
      <c r="T127" s="579">
        <v>1</v>
      </c>
      <c r="U127" s="472"/>
      <c r="V127" s="472"/>
      <c r="W127" s="472"/>
      <c r="X127" s="483">
        <f t="shared" si="3"/>
        <v>1</v>
      </c>
      <c r="Y127" s="440"/>
      <c r="Z127" s="471"/>
      <c r="AA127" s="472"/>
      <c r="AB127" s="472"/>
      <c r="AC127" s="472"/>
      <c r="AD127" s="472"/>
      <c r="AE127" s="473">
        <f t="shared" si="4"/>
        <v>0</v>
      </c>
      <c r="AF127" s="323"/>
      <c r="AG127" s="589" t="e">
        <f>VLOOKUP(B127,'[1]Feature Summary'!$A$7:$U$4028,21,FALSE)</f>
        <v>#N/A</v>
      </c>
      <c r="AH127" s="324"/>
    </row>
    <row r="128" spans="1:34" ht="15.75" hidden="1" thickBot="1" x14ac:dyDescent="0.3">
      <c r="A128" s="330" t="s">
        <v>784</v>
      </c>
      <c r="B128" s="565" t="s">
        <v>785</v>
      </c>
      <c r="C128" s="566" t="s">
        <v>310</v>
      </c>
      <c r="D128" s="573" t="s">
        <v>760</v>
      </c>
      <c r="E128" s="566" t="s">
        <v>786</v>
      </c>
      <c r="F128" s="565" t="s">
        <v>787</v>
      </c>
      <c r="G128" s="575" t="e">
        <f>VLOOKUP(A128,'[1]Feature Summary'!$A$7:$C$4028,3,FALSE)</f>
        <v>#N/A</v>
      </c>
      <c r="H128" s="564" t="s">
        <v>788</v>
      </c>
      <c r="I128" s="437" t="s">
        <v>315</v>
      </c>
      <c r="J128" s="564"/>
      <c r="K128" s="577">
        <v>1</v>
      </c>
      <c r="L128" s="579">
        <v>1</v>
      </c>
      <c r="M128" s="582" t="s">
        <v>33</v>
      </c>
      <c r="N128" s="584">
        <v>1</v>
      </c>
      <c r="O128" s="579">
        <v>1</v>
      </c>
      <c r="P128" s="585">
        <v>1</v>
      </c>
      <c r="Q128" s="587" t="s">
        <v>48</v>
      </c>
      <c r="R128" s="579">
        <v>1</v>
      </c>
      <c r="S128" s="579">
        <v>1</v>
      </c>
      <c r="T128" s="579">
        <v>1</v>
      </c>
      <c r="U128" s="472"/>
      <c r="V128" s="472"/>
      <c r="W128" s="472"/>
      <c r="X128" s="483">
        <f t="shared" si="3"/>
        <v>1</v>
      </c>
      <c r="Y128" s="440"/>
      <c r="Z128" s="471"/>
      <c r="AA128" s="472"/>
      <c r="AB128" s="472"/>
      <c r="AC128" s="472"/>
      <c r="AD128" s="472"/>
      <c r="AE128" s="473">
        <f t="shared" si="4"/>
        <v>0</v>
      </c>
      <c r="AF128" s="323"/>
      <c r="AG128" s="589" t="e">
        <f>VLOOKUP(B128,'[1]Feature Summary'!$A$7:$U$4028,21,FALSE)</f>
        <v>#N/A</v>
      </c>
      <c r="AH128" s="324"/>
    </row>
    <row r="129" spans="1:34" ht="15.75" hidden="1" thickBot="1" x14ac:dyDescent="0.3">
      <c r="A129" s="330" t="s">
        <v>789</v>
      </c>
      <c r="B129" s="565" t="s">
        <v>790</v>
      </c>
      <c r="C129" s="566" t="s">
        <v>310</v>
      </c>
      <c r="D129" s="573" t="s">
        <v>760</v>
      </c>
      <c r="E129" s="566" t="s">
        <v>786</v>
      </c>
      <c r="F129" s="565" t="s">
        <v>791</v>
      </c>
      <c r="G129" s="575" t="e">
        <f>VLOOKUP(A129,'[1]Feature Summary'!$A$7:$C$4028,3,FALSE)</f>
        <v>#N/A</v>
      </c>
      <c r="H129" s="564" t="s">
        <v>788</v>
      </c>
      <c r="I129" s="437" t="s">
        <v>315</v>
      </c>
      <c r="J129" s="564"/>
      <c r="K129" s="577">
        <v>1</v>
      </c>
      <c r="L129" s="579">
        <v>1</v>
      </c>
      <c r="M129" s="582" t="s">
        <v>33</v>
      </c>
      <c r="N129" s="584">
        <v>1</v>
      </c>
      <c r="O129" s="579">
        <v>1</v>
      </c>
      <c r="P129" s="585">
        <v>1</v>
      </c>
      <c r="Q129" s="587" t="s">
        <v>48</v>
      </c>
      <c r="R129" s="579">
        <v>1</v>
      </c>
      <c r="S129" s="579">
        <v>1</v>
      </c>
      <c r="T129" s="579">
        <v>1</v>
      </c>
      <c r="U129" s="472"/>
      <c r="V129" s="472"/>
      <c r="W129" s="472"/>
      <c r="X129" s="483">
        <f t="shared" si="3"/>
        <v>1</v>
      </c>
      <c r="Y129" s="440"/>
      <c r="Z129" s="471"/>
      <c r="AA129" s="472"/>
      <c r="AB129" s="472"/>
      <c r="AC129" s="472"/>
      <c r="AD129" s="472"/>
      <c r="AE129" s="473">
        <f t="shared" si="4"/>
        <v>0</v>
      </c>
      <c r="AF129" s="323"/>
      <c r="AG129" s="589" t="e">
        <f>VLOOKUP(B129,'[1]Feature Summary'!$A$7:$U$4028,21,FALSE)</f>
        <v>#N/A</v>
      </c>
      <c r="AH129" s="324"/>
    </row>
    <row r="130" spans="1:34" ht="30.75" hidden="1" thickBot="1" x14ac:dyDescent="0.3">
      <c r="A130" s="330" t="s">
        <v>792</v>
      </c>
      <c r="B130" s="565" t="s">
        <v>793</v>
      </c>
      <c r="C130" s="566" t="s">
        <v>310</v>
      </c>
      <c r="D130" s="573" t="s">
        <v>760</v>
      </c>
      <c r="E130" s="566" t="s">
        <v>794</v>
      </c>
      <c r="F130" s="565" t="s">
        <v>795</v>
      </c>
      <c r="G130" s="575" t="e">
        <f>VLOOKUP(A130,'[1]Feature Summary'!$A$7:$C$4028,3,FALSE)</f>
        <v>#N/A</v>
      </c>
      <c r="H130" s="564" t="s">
        <v>796</v>
      </c>
      <c r="I130" s="437" t="s">
        <v>315</v>
      </c>
      <c r="J130" s="564"/>
      <c r="K130" s="577">
        <v>1</v>
      </c>
      <c r="L130" s="579">
        <v>1</v>
      </c>
      <c r="M130" s="582" t="s">
        <v>33</v>
      </c>
      <c r="N130" s="584">
        <v>1</v>
      </c>
      <c r="O130" s="579">
        <v>1</v>
      </c>
      <c r="P130" s="585">
        <v>1</v>
      </c>
      <c r="Q130" s="587" t="s">
        <v>48</v>
      </c>
      <c r="R130" s="579">
        <v>1</v>
      </c>
      <c r="S130" s="579">
        <v>1</v>
      </c>
      <c r="T130" s="579">
        <v>1</v>
      </c>
      <c r="U130" s="472"/>
      <c r="V130" s="472"/>
      <c r="W130" s="472"/>
      <c r="X130" s="483">
        <f t="shared" si="3"/>
        <v>1</v>
      </c>
      <c r="Y130" s="440"/>
      <c r="Z130" s="471"/>
      <c r="AA130" s="472"/>
      <c r="AB130" s="472"/>
      <c r="AC130" s="472"/>
      <c r="AD130" s="472"/>
      <c r="AE130" s="473">
        <f t="shared" si="4"/>
        <v>0</v>
      </c>
      <c r="AF130" s="323"/>
      <c r="AG130" s="589" t="e">
        <f>VLOOKUP(B130,'[1]Feature Summary'!$A$7:$U$4028,21,FALSE)</f>
        <v>#N/A</v>
      </c>
      <c r="AH130" s="324"/>
    </row>
    <row r="131" spans="1:34" ht="30.75" hidden="1" thickBot="1" x14ac:dyDescent="0.3">
      <c r="A131" s="330" t="s">
        <v>792</v>
      </c>
      <c r="B131" s="565" t="s">
        <v>793</v>
      </c>
      <c r="C131" s="566" t="s">
        <v>310</v>
      </c>
      <c r="D131" s="573" t="s">
        <v>760</v>
      </c>
      <c r="E131" s="566" t="s">
        <v>794</v>
      </c>
      <c r="F131" s="565" t="s">
        <v>797</v>
      </c>
      <c r="G131" s="575" t="e">
        <f>VLOOKUP(A131,'[1]Feature Summary'!$A$7:$C$4028,3,FALSE)</f>
        <v>#N/A</v>
      </c>
      <c r="H131" s="564" t="s">
        <v>796</v>
      </c>
      <c r="I131" s="437" t="s">
        <v>315</v>
      </c>
      <c r="J131" s="564"/>
      <c r="K131" s="577">
        <v>1</v>
      </c>
      <c r="L131" s="579">
        <v>1</v>
      </c>
      <c r="M131" s="582" t="s">
        <v>33</v>
      </c>
      <c r="N131" s="584">
        <v>1</v>
      </c>
      <c r="O131" s="579">
        <v>1</v>
      </c>
      <c r="P131" s="585">
        <v>1</v>
      </c>
      <c r="Q131" s="587" t="s">
        <v>48</v>
      </c>
      <c r="R131" s="579">
        <v>1</v>
      </c>
      <c r="S131" s="579">
        <v>1</v>
      </c>
      <c r="T131" s="579">
        <v>1</v>
      </c>
      <c r="U131" s="472"/>
      <c r="V131" s="472"/>
      <c r="W131" s="472"/>
      <c r="X131" s="483">
        <f t="shared" si="3"/>
        <v>1</v>
      </c>
      <c r="Y131" s="440"/>
      <c r="Z131" s="471"/>
      <c r="AA131" s="472"/>
      <c r="AB131" s="472"/>
      <c r="AC131" s="472"/>
      <c r="AD131" s="472"/>
      <c r="AE131" s="473">
        <f t="shared" si="4"/>
        <v>0</v>
      </c>
      <c r="AF131" s="323"/>
      <c r="AG131" s="589" t="e">
        <f>VLOOKUP(B131,'[1]Feature Summary'!$A$7:$U$4028,21,FALSE)</f>
        <v>#N/A</v>
      </c>
      <c r="AH131" s="324"/>
    </row>
    <row r="132" spans="1:34" ht="30.75" hidden="1" thickBot="1" x14ac:dyDescent="0.3">
      <c r="A132" s="330" t="s">
        <v>792</v>
      </c>
      <c r="B132" s="565" t="s">
        <v>793</v>
      </c>
      <c r="C132" s="566" t="s">
        <v>310</v>
      </c>
      <c r="D132" s="573" t="s">
        <v>760</v>
      </c>
      <c r="E132" s="566" t="s">
        <v>794</v>
      </c>
      <c r="F132" s="565" t="s">
        <v>798</v>
      </c>
      <c r="G132" s="575" t="e">
        <f>VLOOKUP(A132,'[1]Feature Summary'!$A$7:$C$4028,3,FALSE)</f>
        <v>#N/A</v>
      </c>
      <c r="H132" s="564" t="s">
        <v>796</v>
      </c>
      <c r="I132" s="437" t="s">
        <v>315</v>
      </c>
      <c r="J132" s="564"/>
      <c r="K132" s="577">
        <v>1</v>
      </c>
      <c r="L132" s="579">
        <v>1</v>
      </c>
      <c r="M132" s="582" t="s">
        <v>33</v>
      </c>
      <c r="N132" s="584">
        <v>1</v>
      </c>
      <c r="O132" s="579">
        <v>1</v>
      </c>
      <c r="P132" s="585">
        <v>1</v>
      </c>
      <c r="Q132" s="587" t="s">
        <v>48</v>
      </c>
      <c r="R132" s="579">
        <v>1</v>
      </c>
      <c r="S132" s="579">
        <v>1</v>
      </c>
      <c r="T132" s="579">
        <v>1</v>
      </c>
      <c r="U132" s="472"/>
      <c r="V132" s="472"/>
      <c r="W132" s="472"/>
      <c r="X132" s="483">
        <f t="shared" si="3"/>
        <v>1</v>
      </c>
      <c r="Y132" s="440"/>
      <c r="Z132" s="471"/>
      <c r="AA132" s="472"/>
      <c r="AB132" s="472"/>
      <c r="AC132" s="472"/>
      <c r="AD132" s="472"/>
      <c r="AE132" s="473">
        <f t="shared" si="4"/>
        <v>0</v>
      </c>
      <c r="AF132" s="323"/>
      <c r="AG132" s="589" t="e">
        <f>VLOOKUP(B132,'[1]Feature Summary'!$A$7:$U$4028,21,FALSE)</f>
        <v>#N/A</v>
      </c>
      <c r="AH132" s="324"/>
    </row>
    <row r="133" spans="1:34" ht="15.75" hidden="1" thickBot="1" x14ac:dyDescent="0.3">
      <c r="A133" s="330" t="s">
        <v>799</v>
      </c>
      <c r="B133" s="565" t="s">
        <v>656</v>
      </c>
      <c r="C133" s="566" t="s">
        <v>310</v>
      </c>
      <c r="D133" s="573" t="s">
        <v>760</v>
      </c>
      <c r="E133" s="566" t="s">
        <v>800</v>
      </c>
      <c r="F133" s="565" t="s">
        <v>801</v>
      </c>
      <c r="G133" s="575" t="e">
        <f>VLOOKUP(A133,'[1]Feature Summary'!$A$7:$C$4028,3,FALSE)</f>
        <v>#N/A</v>
      </c>
      <c r="H133" s="564" t="s">
        <v>802</v>
      </c>
      <c r="I133" s="437" t="s">
        <v>315</v>
      </c>
      <c r="J133" s="564" t="s">
        <v>803</v>
      </c>
      <c r="K133" s="577">
        <v>1</v>
      </c>
      <c r="L133" s="579">
        <v>1</v>
      </c>
      <c r="M133" s="582" t="s">
        <v>33</v>
      </c>
      <c r="N133" s="584">
        <v>1</v>
      </c>
      <c r="O133" s="579">
        <v>1</v>
      </c>
      <c r="P133" s="585">
        <v>1</v>
      </c>
      <c r="Q133" s="587" t="s">
        <v>48</v>
      </c>
      <c r="R133" s="579">
        <v>1</v>
      </c>
      <c r="S133" s="579">
        <v>1</v>
      </c>
      <c r="T133" s="579">
        <v>1</v>
      </c>
      <c r="U133" s="472"/>
      <c r="V133" s="472"/>
      <c r="W133" s="472"/>
      <c r="X133" s="483">
        <f t="shared" si="3"/>
        <v>1</v>
      </c>
      <c r="Y133" s="440"/>
      <c r="Z133" s="471"/>
      <c r="AA133" s="472"/>
      <c r="AB133" s="472"/>
      <c r="AC133" s="472"/>
      <c r="AD133" s="472"/>
      <c r="AE133" s="473">
        <f t="shared" si="4"/>
        <v>0</v>
      </c>
      <c r="AF133" s="323"/>
      <c r="AG133" s="589" t="e">
        <f>VLOOKUP(B133,'[1]Feature Summary'!$A$7:$U$4028,21,FALSE)</f>
        <v>#N/A</v>
      </c>
      <c r="AH133" s="324"/>
    </row>
    <row r="134" spans="1:34" ht="15.75" hidden="1" thickBot="1" x14ac:dyDescent="0.3">
      <c r="A134" s="330" t="s">
        <v>799</v>
      </c>
      <c r="B134" s="565" t="s">
        <v>656</v>
      </c>
      <c r="C134" s="566" t="s">
        <v>310</v>
      </c>
      <c r="D134" s="573" t="s">
        <v>760</v>
      </c>
      <c r="E134" s="566" t="s">
        <v>800</v>
      </c>
      <c r="F134" s="565" t="s">
        <v>804</v>
      </c>
      <c r="G134" s="575" t="e">
        <f>VLOOKUP(A134,'[1]Feature Summary'!$A$7:$C$4028,3,FALSE)</f>
        <v>#N/A</v>
      </c>
      <c r="H134" s="564" t="s">
        <v>805</v>
      </c>
      <c r="I134" s="437" t="s">
        <v>315</v>
      </c>
      <c r="J134" s="564" t="s">
        <v>806</v>
      </c>
      <c r="K134" s="577">
        <v>1</v>
      </c>
      <c r="L134" s="579">
        <v>1</v>
      </c>
      <c r="M134" s="582" t="s">
        <v>33</v>
      </c>
      <c r="N134" s="584">
        <v>1</v>
      </c>
      <c r="O134" s="579">
        <v>1</v>
      </c>
      <c r="P134" s="585">
        <v>1</v>
      </c>
      <c r="Q134" s="587" t="s">
        <v>48</v>
      </c>
      <c r="R134" s="579">
        <v>1</v>
      </c>
      <c r="S134" s="579">
        <v>1</v>
      </c>
      <c r="T134" s="579">
        <v>1</v>
      </c>
      <c r="U134" s="472"/>
      <c r="V134" s="472"/>
      <c r="W134" s="472"/>
      <c r="X134" s="483">
        <f t="shared" ref="X134:X170" si="5">IF((S134=0),0,((T134+U134)/S134*100%))</f>
        <v>1</v>
      </c>
      <c r="Y134" s="440"/>
      <c r="Z134" s="471"/>
      <c r="AA134" s="472"/>
      <c r="AB134" s="472"/>
      <c r="AC134" s="472"/>
      <c r="AD134" s="472"/>
      <c r="AE134" s="473">
        <f t="shared" si="4"/>
        <v>0</v>
      </c>
      <c r="AF134" s="323"/>
      <c r="AG134" s="589" t="e">
        <f>VLOOKUP(B134,'[1]Feature Summary'!$A$7:$U$4028,21,FALSE)</f>
        <v>#N/A</v>
      </c>
      <c r="AH134" s="324"/>
    </row>
    <row r="135" spans="1:34" ht="15.75" hidden="1" thickBot="1" x14ac:dyDescent="0.3">
      <c r="A135" s="330" t="s">
        <v>807</v>
      </c>
      <c r="B135" s="565" t="s">
        <v>659</v>
      </c>
      <c r="C135" s="566" t="s">
        <v>310</v>
      </c>
      <c r="D135" s="573" t="s">
        <v>760</v>
      </c>
      <c r="E135" s="566" t="s">
        <v>808</v>
      </c>
      <c r="F135" s="565" t="s">
        <v>660</v>
      </c>
      <c r="G135" s="575" t="e">
        <f>VLOOKUP(A135,'[1]Feature Summary'!$A$7:$C$4028,3,FALSE)</f>
        <v>#N/A</v>
      </c>
      <c r="H135" s="564" t="s">
        <v>768</v>
      </c>
      <c r="I135" s="437" t="s">
        <v>315</v>
      </c>
      <c r="J135" s="564"/>
      <c r="K135" s="577">
        <v>1</v>
      </c>
      <c r="L135" s="579">
        <v>1</v>
      </c>
      <c r="M135" s="582" t="s">
        <v>33</v>
      </c>
      <c r="N135" s="584">
        <v>1</v>
      </c>
      <c r="O135" s="579">
        <v>1</v>
      </c>
      <c r="P135" s="585">
        <v>1</v>
      </c>
      <c r="Q135" s="587" t="s">
        <v>48</v>
      </c>
      <c r="R135" s="579">
        <v>1</v>
      </c>
      <c r="S135" s="579">
        <v>1</v>
      </c>
      <c r="T135" s="579">
        <v>1</v>
      </c>
      <c r="U135" s="472"/>
      <c r="V135" s="472"/>
      <c r="W135" s="472"/>
      <c r="X135" s="483">
        <f t="shared" si="5"/>
        <v>1</v>
      </c>
      <c r="Y135" s="440"/>
      <c r="Z135" s="471"/>
      <c r="AA135" s="472"/>
      <c r="AB135" s="472"/>
      <c r="AC135" s="472"/>
      <c r="AD135" s="472"/>
      <c r="AE135" s="473">
        <f t="shared" ref="AE135:AE170" si="6">IF((Z135=0),0,((AA135+AB135)/Z135*100%))</f>
        <v>0</v>
      </c>
      <c r="AF135" s="323"/>
      <c r="AG135" s="589" t="e">
        <f>VLOOKUP(B135,'[1]Feature Summary'!$A$7:$U$4028,21,FALSE)</f>
        <v>#N/A</v>
      </c>
      <c r="AH135" s="324"/>
    </row>
    <row r="136" spans="1:34" ht="15.75" hidden="1" thickBot="1" x14ac:dyDescent="0.3">
      <c r="A136" s="330" t="s">
        <v>809</v>
      </c>
      <c r="B136" s="565" t="s">
        <v>662</v>
      </c>
      <c r="C136" s="566" t="s">
        <v>310</v>
      </c>
      <c r="D136" s="573" t="s">
        <v>760</v>
      </c>
      <c r="E136" s="566" t="s">
        <v>808</v>
      </c>
      <c r="F136" s="565" t="s">
        <v>767</v>
      </c>
      <c r="G136" s="575" t="e">
        <f>VLOOKUP(A136,'[1]Feature Summary'!$A$7:$C$4028,3,FALSE)</f>
        <v>#N/A</v>
      </c>
      <c r="H136" s="564" t="s">
        <v>768</v>
      </c>
      <c r="I136" s="437" t="s">
        <v>315</v>
      </c>
      <c r="J136" s="564"/>
      <c r="K136" s="577">
        <v>1</v>
      </c>
      <c r="L136" s="579">
        <v>1</v>
      </c>
      <c r="M136" s="582" t="s">
        <v>33</v>
      </c>
      <c r="N136" s="584">
        <v>1</v>
      </c>
      <c r="O136" s="579">
        <v>1</v>
      </c>
      <c r="P136" s="585">
        <v>1</v>
      </c>
      <c r="Q136" s="587" t="s">
        <v>48</v>
      </c>
      <c r="R136" s="579">
        <v>1</v>
      </c>
      <c r="S136" s="579">
        <v>1</v>
      </c>
      <c r="T136" s="579">
        <v>1</v>
      </c>
      <c r="U136" s="472"/>
      <c r="V136" s="472"/>
      <c r="W136" s="472"/>
      <c r="X136" s="483">
        <f t="shared" si="5"/>
        <v>1</v>
      </c>
      <c r="Y136" s="440"/>
      <c r="Z136" s="471"/>
      <c r="AA136" s="472"/>
      <c r="AB136" s="472"/>
      <c r="AC136" s="472"/>
      <c r="AD136" s="472"/>
      <c r="AE136" s="473">
        <f t="shared" si="6"/>
        <v>0</v>
      </c>
      <c r="AF136" s="323"/>
      <c r="AG136" s="589" t="e">
        <f>VLOOKUP(B136,'[1]Feature Summary'!$A$7:$U$4028,21,FALSE)</f>
        <v>#N/A</v>
      </c>
      <c r="AH136" s="324"/>
    </row>
    <row r="137" spans="1:34" ht="15.75" hidden="1" thickBot="1" x14ac:dyDescent="0.3">
      <c r="A137" s="330" t="s">
        <v>810</v>
      </c>
      <c r="B137" s="565" t="s">
        <v>669</v>
      </c>
      <c r="C137" s="566" t="s">
        <v>310</v>
      </c>
      <c r="D137" s="573" t="s">
        <v>760</v>
      </c>
      <c r="E137" s="566" t="s">
        <v>794</v>
      </c>
      <c r="F137" s="565" t="s">
        <v>795</v>
      </c>
      <c r="G137" s="575" t="e">
        <f>VLOOKUP(A137,'[1]Feature Summary'!$A$7:$C$4028,3,FALSE)</f>
        <v>#N/A</v>
      </c>
      <c r="H137" s="564" t="s">
        <v>811</v>
      </c>
      <c r="I137" s="437" t="s">
        <v>315</v>
      </c>
      <c r="J137" s="564"/>
      <c r="K137" s="577">
        <v>1</v>
      </c>
      <c r="L137" s="579">
        <v>1</v>
      </c>
      <c r="M137" s="582" t="s">
        <v>33</v>
      </c>
      <c r="N137" s="584">
        <v>1</v>
      </c>
      <c r="O137" s="579">
        <v>1</v>
      </c>
      <c r="P137" s="585">
        <v>1</v>
      </c>
      <c r="Q137" s="587" t="s">
        <v>48</v>
      </c>
      <c r="R137" s="579">
        <v>1</v>
      </c>
      <c r="S137" s="579">
        <v>1</v>
      </c>
      <c r="T137" s="579">
        <v>1</v>
      </c>
      <c r="U137" s="472"/>
      <c r="V137" s="472"/>
      <c r="W137" s="472"/>
      <c r="X137" s="483">
        <f t="shared" si="5"/>
        <v>1</v>
      </c>
      <c r="Y137" s="440"/>
      <c r="Z137" s="471"/>
      <c r="AA137" s="472"/>
      <c r="AB137" s="472"/>
      <c r="AC137" s="472"/>
      <c r="AD137" s="472"/>
      <c r="AE137" s="473">
        <f t="shared" si="6"/>
        <v>0</v>
      </c>
      <c r="AF137" s="323"/>
      <c r="AG137" s="589" t="e">
        <f>VLOOKUP(B137,'[1]Feature Summary'!$A$7:$U$4028,21,FALSE)</f>
        <v>#N/A</v>
      </c>
      <c r="AH137" s="324"/>
    </row>
    <row r="138" spans="1:34" ht="15.75" hidden="1" thickBot="1" x14ac:dyDescent="0.3">
      <c r="A138" s="330" t="s">
        <v>810</v>
      </c>
      <c r="B138" s="565" t="s">
        <v>669</v>
      </c>
      <c r="C138" s="566" t="s">
        <v>310</v>
      </c>
      <c r="D138" s="573" t="s">
        <v>760</v>
      </c>
      <c r="E138" s="566" t="s">
        <v>794</v>
      </c>
      <c r="F138" s="565" t="s">
        <v>797</v>
      </c>
      <c r="G138" s="575" t="e">
        <f>VLOOKUP(A138,'[1]Feature Summary'!$A$7:$C$4028,3,FALSE)</f>
        <v>#N/A</v>
      </c>
      <c r="H138" s="564" t="s">
        <v>811</v>
      </c>
      <c r="I138" s="437" t="s">
        <v>315</v>
      </c>
      <c r="J138" s="564"/>
      <c r="K138" s="577">
        <v>1</v>
      </c>
      <c r="L138" s="579">
        <v>1</v>
      </c>
      <c r="M138" s="582" t="s">
        <v>33</v>
      </c>
      <c r="N138" s="584">
        <v>1</v>
      </c>
      <c r="O138" s="579">
        <v>1</v>
      </c>
      <c r="P138" s="585">
        <v>1</v>
      </c>
      <c r="Q138" s="587" t="s">
        <v>48</v>
      </c>
      <c r="R138" s="579">
        <v>1</v>
      </c>
      <c r="S138" s="579">
        <v>1</v>
      </c>
      <c r="T138" s="579">
        <v>1</v>
      </c>
      <c r="U138" s="472"/>
      <c r="V138" s="472"/>
      <c r="W138" s="472"/>
      <c r="X138" s="483">
        <f t="shared" si="5"/>
        <v>1</v>
      </c>
      <c r="Y138" s="440"/>
      <c r="Z138" s="471"/>
      <c r="AA138" s="472"/>
      <c r="AB138" s="472"/>
      <c r="AC138" s="472"/>
      <c r="AD138" s="472"/>
      <c r="AE138" s="473">
        <f t="shared" si="6"/>
        <v>0</v>
      </c>
      <c r="AF138" s="323"/>
      <c r="AG138" s="589" t="e">
        <f>VLOOKUP(B138,'[1]Feature Summary'!$A$7:$U$4028,21,FALSE)</f>
        <v>#N/A</v>
      </c>
      <c r="AH138" s="324"/>
    </row>
    <row r="139" spans="1:34" ht="15.75" hidden="1" thickBot="1" x14ac:dyDescent="0.3">
      <c r="A139" s="330" t="s">
        <v>810</v>
      </c>
      <c r="B139" s="565" t="s">
        <v>669</v>
      </c>
      <c r="C139" s="566" t="s">
        <v>310</v>
      </c>
      <c r="D139" s="573" t="s">
        <v>760</v>
      </c>
      <c r="E139" s="566" t="s">
        <v>794</v>
      </c>
      <c r="F139" s="565" t="s">
        <v>798</v>
      </c>
      <c r="G139" s="575" t="e">
        <f>VLOOKUP(A139,'[1]Feature Summary'!$A$7:$C$4028,3,FALSE)</f>
        <v>#N/A</v>
      </c>
      <c r="H139" s="564" t="s">
        <v>796</v>
      </c>
      <c r="I139" s="437" t="s">
        <v>315</v>
      </c>
      <c r="J139" s="564"/>
      <c r="K139" s="577">
        <v>1</v>
      </c>
      <c r="L139" s="579">
        <v>1</v>
      </c>
      <c r="M139" s="582" t="s">
        <v>33</v>
      </c>
      <c r="N139" s="584">
        <v>1</v>
      </c>
      <c r="O139" s="579">
        <v>1</v>
      </c>
      <c r="P139" s="585">
        <v>1</v>
      </c>
      <c r="Q139" s="587" t="s">
        <v>48</v>
      </c>
      <c r="R139" s="579">
        <v>1</v>
      </c>
      <c r="S139" s="579">
        <v>1</v>
      </c>
      <c r="T139" s="579">
        <v>1</v>
      </c>
      <c r="U139" s="472"/>
      <c r="V139" s="472"/>
      <c r="W139" s="472"/>
      <c r="X139" s="483">
        <f t="shared" si="5"/>
        <v>1</v>
      </c>
      <c r="Y139" s="440"/>
      <c r="Z139" s="471"/>
      <c r="AA139" s="472"/>
      <c r="AB139" s="472"/>
      <c r="AC139" s="472"/>
      <c r="AD139" s="472"/>
      <c r="AE139" s="473">
        <f t="shared" si="6"/>
        <v>0</v>
      </c>
      <c r="AF139" s="323"/>
      <c r="AG139" s="589" t="e">
        <f>VLOOKUP(B139,'[1]Feature Summary'!$A$7:$U$4028,21,FALSE)</f>
        <v>#N/A</v>
      </c>
      <c r="AH139" s="324"/>
    </row>
    <row r="140" spans="1:34" ht="15.75" hidden="1" thickBot="1" x14ac:dyDescent="0.3">
      <c r="A140" s="330" t="s">
        <v>812</v>
      </c>
      <c r="B140" s="565" t="s">
        <v>671</v>
      </c>
      <c r="C140" s="566" t="s">
        <v>310</v>
      </c>
      <c r="D140" s="573" t="s">
        <v>760</v>
      </c>
      <c r="E140" s="566" t="s">
        <v>813</v>
      </c>
      <c r="F140" s="565" t="s">
        <v>814</v>
      </c>
      <c r="G140" s="575" t="e">
        <f>VLOOKUP(A140,'[1]Feature Summary'!$A$7:$C$4028,3,FALSE)</f>
        <v>#N/A</v>
      </c>
      <c r="H140" s="564" t="s">
        <v>815</v>
      </c>
      <c r="I140" s="437" t="s">
        <v>315</v>
      </c>
      <c r="J140" s="564"/>
      <c r="K140" s="577">
        <v>1</v>
      </c>
      <c r="L140" s="579">
        <v>1</v>
      </c>
      <c r="M140" s="582" t="s">
        <v>33</v>
      </c>
      <c r="N140" s="584">
        <v>1</v>
      </c>
      <c r="O140" s="579">
        <v>1</v>
      </c>
      <c r="P140" s="585">
        <v>1</v>
      </c>
      <c r="Q140" s="587" t="s">
        <v>48</v>
      </c>
      <c r="R140" s="579">
        <v>1</v>
      </c>
      <c r="S140" s="579">
        <v>1</v>
      </c>
      <c r="T140" s="579">
        <v>1</v>
      </c>
      <c r="U140" s="472"/>
      <c r="V140" s="472"/>
      <c r="W140" s="472"/>
      <c r="X140" s="483">
        <f t="shared" si="5"/>
        <v>1</v>
      </c>
      <c r="Y140" s="440"/>
      <c r="Z140" s="471"/>
      <c r="AA140" s="472"/>
      <c r="AB140" s="472"/>
      <c r="AC140" s="472"/>
      <c r="AD140" s="472"/>
      <c r="AE140" s="473">
        <f t="shared" si="6"/>
        <v>0</v>
      </c>
      <c r="AF140" s="323"/>
      <c r="AG140" s="589" t="e">
        <f>VLOOKUP(B140,'[1]Feature Summary'!$A$7:$U$4028,21,FALSE)</f>
        <v>#N/A</v>
      </c>
      <c r="AH140" s="324"/>
    </row>
    <row r="141" spans="1:34" ht="15.75" hidden="1" thickBot="1" x14ac:dyDescent="0.3">
      <c r="A141" s="330" t="s">
        <v>812</v>
      </c>
      <c r="B141" s="565" t="s">
        <v>671</v>
      </c>
      <c r="C141" s="566" t="s">
        <v>310</v>
      </c>
      <c r="D141" s="573" t="s">
        <v>760</v>
      </c>
      <c r="E141" s="566" t="s">
        <v>816</v>
      </c>
      <c r="F141" s="565" t="s">
        <v>817</v>
      </c>
      <c r="G141" s="575" t="e">
        <f>VLOOKUP(A141,'[1]Feature Summary'!$A$7:$C$4028,3,FALSE)</f>
        <v>#N/A</v>
      </c>
      <c r="H141" s="564" t="s">
        <v>818</v>
      </c>
      <c r="I141" s="437" t="s">
        <v>315</v>
      </c>
      <c r="J141" s="564"/>
      <c r="K141" s="577">
        <v>1</v>
      </c>
      <c r="L141" s="579">
        <v>1</v>
      </c>
      <c r="M141" s="582" t="s">
        <v>33</v>
      </c>
      <c r="N141" s="584">
        <v>1</v>
      </c>
      <c r="O141" s="579">
        <v>1</v>
      </c>
      <c r="P141" s="585">
        <v>1</v>
      </c>
      <c r="Q141" s="587" t="s">
        <v>48</v>
      </c>
      <c r="R141" s="579">
        <v>1</v>
      </c>
      <c r="S141" s="579">
        <v>1</v>
      </c>
      <c r="T141" s="579">
        <v>1</v>
      </c>
      <c r="U141" s="472"/>
      <c r="V141" s="472"/>
      <c r="W141" s="472"/>
      <c r="X141" s="483">
        <f t="shared" si="5"/>
        <v>1</v>
      </c>
      <c r="Y141" s="440"/>
      <c r="Z141" s="471"/>
      <c r="AA141" s="472"/>
      <c r="AB141" s="472"/>
      <c r="AC141" s="472"/>
      <c r="AD141" s="472"/>
      <c r="AE141" s="473">
        <f t="shared" si="6"/>
        <v>0</v>
      </c>
      <c r="AF141" s="323"/>
      <c r="AG141" s="589" t="e">
        <f>VLOOKUP(B141,'[1]Feature Summary'!$A$7:$U$4028,21,FALSE)</f>
        <v>#N/A</v>
      </c>
      <c r="AH141" s="324"/>
    </row>
    <row r="142" spans="1:34" ht="15.75" hidden="1" thickBot="1" x14ac:dyDescent="0.3">
      <c r="A142" s="330" t="s">
        <v>812</v>
      </c>
      <c r="B142" s="565" t="s">
        <v>671</v>
      </c>
      <c r="C142" s="566" t="s">
        <v>310</v>
      </c>
      <c r="D142" s="573" t="s">
        <v>760</v>
      </c>
      <c r="E142" s="566" t="s">
        <v>813</v>
      </c>
      <c r="F142" s="565" t="s">
        <v>819</v>
      </c>
      <c r="G142" s="575" t="e">
        <f>VLOOKUP(A142,'[1]Feature Summary'!$A$7:$C$4028,3,FALSE)</f>
        <v>#N/A</v>
      </c>
      <c r="H142" s="564" t="s">
        <v>820</v>
      </c>
      <c r="I142" s="437" t="s">
        <v>315</v>
      </c>
      <c r="J142" s="564"/>
      <c r="K142" s="577">
        <v>1</v>
      </c>
      <c r="L142" s="579">
        <v>1</v>
      </c>
      <c r="M142" s="582" t="s">
        <v>33</v>
      </c>
      <c r="N142" s="584">
        <v>1</v>
      </c>
      <c r="O142" s="579">
        <v>1</v>
      </c>
      <c r="P142" s="585">
        <v>1</v>
      </c>
      <c r="Q142" s="587" t="s">
        <v>48</v>
      </c>
      <c r="R142" s="579">
        <v>1</v>
      </c>
      <c r="S142" s="579">
        <v>1</v>
      </c>
      <c r="T142" s="579">
        <v>1</v>
      </c>
      <c r="U142" s="472"/>
      <c r="V142" s="472"/>
      <c r="W142" s="472"/>
      <c r="X142" s="483">
        <f t="shared" si="5"/>
        <v>1</v>
      </c>
      <c r="Y142" s="440"/>
      <c r="Z142" s="471"/>
      <c r="AA142" s="472"/>
      <c r="AB142" s="472"/>
      <c r="AC142" s="472"/>
      <c r="AD142" s="472"/>
      <c r="AE142" s="473">
        <f t="shared" si="6"/>
        <v>0</v>
      </c>
      <c r="AF142" s="323"/>
      <c r="AG142" s="589" t="e">
        <f>VLOOKUP(B142,'[1]Feature Summary'!$A$7:$U$4028,21,FALSE)</f>
        <v>#N/A</v>
      </c>
      <c r="AH142" s="324"/>
    </row>
    <row r="143" spans="1:34" ht="30.75" hidden="1" thickBot="1" x14ac:dyDescent="0.3">
      <c r="A143" s="330" t="s">
        <v>821</v>
      </c>
      <c r="B143" s="565" t="s">
        <v>822</v>
      </c>
      <c r="C143" s="566" t="s">
        <v>310</v>
      </c>
      <c r="D143" s="573" t="s">
        <v>823</v>
      </c>
      <c r="E143" s="566"/>
      <c r="F143" s="572"/>
      <c r="G143" s="575" t="e">
        <f>VLOOKUP(A143,'[1]Feature Summary'!$A$7:$C$4028,3,FALSE)</f>
        <v>#N/A</v>
      </c>
      <c r="H143" s="564"/>
      <c r="I143" s="437" t="s">
        <v>315</v>
      </c>
      <c r="J143" s="564"/>
      <c r="K143" s="577">
        <v>1</v>
      </c>
      <c r="L143" s="579">
        <v>1</v>
      </c>
      <c r="M143" s="582" t="s">
        <v>33</v>
      </c>
      <c r="N143" s="584">
        <v>1</v>
      </c>
      <c r="O143" s="579">
        <v>1</v>
      </c>
      <c r="P143" s="585">
        <v>1</v>
      </c>
      <c r="Q143" s="587" t="s">
        <v>48</v>
      </c>
      <c r="R143" s="579">
        <v>1</v>
      </c>
      <c r="S143" s="579">
        <v>1</v>
      </c>
      <c r="T143" s="579">
        <v>1</v>
      </c>
      <c r="U143" s="472"/>
      <c r="V143" s="472"/>
      <c r="W143" s="472"/>
      <c r="X143" s="483">
        <f t="shared" si="5"/>
        <v>1</v>
      </c>
      <c r="Y143" s="440"/>
      <c r="Z143" s="471"/>
      <c r="AA143" s="472"/>
      <c r="AB143" s="472"/>
      <c r="AC143" s="472"/>
      <c r="AD143" s="472"/>
      <c r="AE143" s="473">
        <f t="shared" si="6"/>
        <v>0</v>
      </c>
      <c r="AF143" s="323"/>
      <c r="AG143" s="589" t="e">
        <f>VLOOKUP(B143,'[1]Feature Summary'!$A$7:$U$4028,21,FALSE)</f>
        <v>#N/A</v>
      </c>
      <c r="AH143" s="324"/>
    </row>
    <row r="144" spans="1:34" ht="15.75" hidden="1" thickBot="1" x14ac:dyDescent="0.3">
      <c r="A144" s="330" t="s">
        <v>824</v>
      </c>
      <c r="B144" s="566" t="s">
        <v>825</v>
      </c>
      <c r="C144" s="566" t="s">
        <v>310</v>
      </c>
      <c r="D144" s="570" t="s">
        <v>826</v>
      </c>
      <c r="E144" s="566" t="s">
        <v>827</v>
      </c>
      <c r="F144" s="566" t="s">
        <v>825</v>
      </c>
      <c r="G144" s="575" t="e">
        <f>VLOOKUP(A144,'[1]Feature Summary'!$A$7:$C$4028,3,FALSE)</f>
        <v>#N/A</v>
      </c>
      <c r="H144" s="564" t="s">
        <v>828</v>
      </c>
      <c r="I144" s="437" t="s">
        <v>315</v>
      </c>
      <c r="J144" s="564" t="s">
        <v>829</v>
      </c>
      <c r="K144" s="577">
        <v>1</v>
      </c>
      <c r="L144" s="570">
        <v>1</v>
      </c>
      <c r="M144" s="581" t="s">
        <v>39</v>
      </c>
      <c r="N144" s="584">
        <v>1</v>
      </c>
      <c r="O144" s="570">
        <v>1</v>
      </c>
      <c r="P144" s="585">
        <v>1</v>
      </c>
      <c r="Q144" s="587" t="s">
        <v>48</v>
      </c>
      <c r="R144" s="570">
        <v>1</v>
      </c>
      <c r="S144" s="570">
        <v>1</v>
      </c>
      <c r="T144" s="570">
        <v>1</v>
      </c>
      <c r="U144" s="472"/>
      <c r="V144" s="472"/>
      <c r="W144" s="472"/>
      <c r="X144" s="483">
        <f t="shared" si="5"/>
        <v>1</v>
      </c>
      <c r="Y144" s="440"/>
      <c r="Z144" s="471"/>
      <c r="AA144" s="472"/>
      <c r="AB144" s="472"/>
      <c r="AC144" s="472"/>
      <c r="AD144" s="472"/>
      <c r="AE144" s="473">
        <f t="shared" si="6"/>
        <v>0</v>
      </c>
      <c r="AF144" s="323"/>
      <c r="AG144" s="589" t="e">
        <f>VLOOKUP(B144,'[1]Feature Summary'!$A$7:$U$4028,21,FALSE)</f>
        <v>#N/A</v>
      </c>
      <c r="AH144" s="324"/>
    </row>
    <row r="145" spans="1:34" ht="15.75" thickBot="1" x14ac:dyDescent="0.3">
      <c r="A145" s="330" t="s">
        <v>830</v>
      </c>
      <c r="B145" s="566" t="s">
        <v>831</v>
      </c>
      <c r="C145" s="566" t="s">
        <v>310</v>
      </c>
      <c r="D145" s="570" t="s">
        <v>826</v>
      </c>
      <c r="E145" s="566" t="s">
        <v>832</v>
      </c>
      <c r="F145" s="566" t="s">
        <v>833</v>
      </c>
      <c r="G145" s="575" t="s">
        <v>280</v>
      </c>
      <c r="H145" s="564" t="s">
        <v>834</v>
      </c>
      <c r="I145" s="437" t="s">
        <v>315</v>
      </c>
      <c r="J145" s="564" t="s">
        <v>835</v>
      </c>
      <c r="K145" s="577">
        <v>1</v>
      </c>
      <c r="L145" s="570">
        <v>10</v>
      </c>
      <c r="M145" s="581" t="s">
        <v>33</v>
      </c>
      <c r="N145" s="584">
        <v>1</v>
      </c>
      <c r="O145" s="570">
        <v>10</v>
      </c>
      <c r="P145" s="585">
        <v>1</v>
      </c>
      <c r="Q145" s="587" t="s">
        <v>48</v>
      </c>
      <c r="R145" s="570">
        <v>10</v>
      </c>
      <c r="S145" s="570">
        <v>10</v>
      </c>
      <c r="T145" s="570">
        <v>10</v>
      </c>
      <c r="U145" s="472"/>
      <c r="V145" s="472"/>
      <c r="W145" s="472"/>
      <c r="X145" s="483">
        <f t="shared" si="5"/>
        <v>1</v>
      </c>
      <c r="Y145" s="440"/>
      <c r="Z145" s="471"/>
      <c r="AA145" s="472"/>
      <c r="AB145" s="472"/>
      <c r="AC145" s="472"/>
      <c r="AD145" s="472"/>
      <c r="AE145" s="473">
        <f t="shared" si="6"/>
        <v>0</v>
      </c>
      <c r="AF145" s="323"/>
      <c r="AG145" s="589" t="s">
        <v>836</v>
      </c>
      <c r="AH145" s="324"/>
    </row>
    <row r="146" spans="1:34" ht="15.75" thickBot="1" x14ac:dyDescent="0.3">
      <c r="A146" s="330" t="s">
        <v>837</v>
      </c>
      <c r="B146" s="566" t="s">
        <v>838</v>
      </c>
      <c r="C146" s="566" t="s">
        <v>310</v>
      </c>
      <c r="D146" s="570" t="s">
        <v>826</v>
      </c>
      <c r="E146" s="566" t="s">
        <v>839</v>
      </c>
      <c r="F146" s="566" t="s">
        <v>840</v>
      </c>
      <c r="G146" s="575" t="e">
        <f>VLOOKUP(A146,'[1]Feature Summary'!$A$7:$C$4028,3,FALSE)</f>
        <v>#N/A</v>
      </c>
      <c r="H146" s="564" t="s">
        <v>841</v>
      </c>
      <c r="I146" s="437" t="s">
        <v>35</v>
      </c>
      <c r="J146" s="564" t="s">
        <v>47</v>
      </c>
      <c r="K146" s="577">
        <v>1</v>
      </c>
      <c r="L146" s="570">
        <v>3</v>
      </c>
      <c r="M146" s="581" t="s">
        <v>39</v>
      </c>
      <c r="N146" s="584">
        <v>1</v>
      </c>
      <c r="O146" s="570">
        <v>3</v>
      </c>
      <c r="P146" s="585">
        <v>1</v>
      </c>
      <c r="Q146" s="587" t="s">
        <v>38</v>
      </c>
      <c r="R146" s="570">
        <v>3</v>
      </c>
      <c r="S146" s="570">
        <v>3</v>
      </c>
      <c r="T146" s="570">
        <v>3</v>
      </c>
      <c r="U146" s="472"/>
      <c r="V146" s="472"/>
      <c r="W146" s="472"/>
      <c r="X146" s="483">
        <f t="shared" si="5"/>
        <v>1</v>
      </c>
      <c r="Y146" s="440"/>
      <c r="Z146" s="471"/>
      <c r="AA146" s="472"/>
      <c r="AB146" s="472"/>
      <c r="AC146" s="472"/>
      <c r="AD146" s="472"/>
      <c r="AE146" s="473">
        <f t="shared" si="6"/>
        <v>0</v>
      </c>
      <c r="AF146" s="323"/>
      <c r="AG146" s="589" t="e">
        <f>VLOOKUP(B146,'[1]Feature Summary'!$A$7:$U$4028,21,FALSE)</f>
        <v>#N/A</v>
      </c>
      <c r="AH146" s="324"/>
    </row>
    <row r="147" spans="1:34" ht="15.75" thickBot="1" x14ac:dyDescent="0.3">
      <c r="A147" s="330" t="s">
        <v>842</v>
      </c>
      <c r="B147" s="566" t="s">
        <v>843</v>
      </c>
      <c r="C147" s="566" t="s">
        <v>310</v>
      </c>
      <c r="D147" s="570" t="s">
        <v>826</v>
      </c>
      <c r="E147" s="566" t="s">
        <v>844</v>
      </c>
      <c r="F147" s="566" t="s">
        <v>845</v>
      </c>
      <c r="G147" s="575" t="e">
        <f>VLOOKUP(A147,'[1]Feature Summary'!$A$7:$C$4028,3,FALSE)</f>
        <v>#N/A</v>
      </c>
      <c r="H147" s="564" t="s">
        <v>846</v>
      </c>
      <c r="I147" s="437" t="s">
        <v>35</v>
      </c>
      <c r="J147" s="564" t="s">
        <v>847</v>
      </c>
      <c r="K147" s="577">
        <v>1</v>
      </c>
      <c r="L147" s="570">
        <v>3</v>
      </c>
      <c r="M147" s="581" t="s">
        <v>39</v>
      </c>
      <c r="N147" s="584">
        <v>1</v>
      </c>
      <c r="O147" s="570">
        <v>3</v>
      </c>
      <c r="P147" s="585">
        <v>1</v>
      </c>
      <c r="Q147" s="587" t="s">
        <v>38</v>
      </c>
      <c r="R147" s="570">
        <v>3</v>
      </c>
      <c r="S147" s="570">
        <v>3</v>
      </c>
      <c r="T147" s="570">
        <v>3</v>
      </c>
      <c r="U147" s="472"/>
      <c r="V147" s="472"/>
      <c r="W147" s="472"/>
      <c r="X147" s="483">
        <f t="shared" si="5"/>
        <v>1</v>
      </c>
      <c r="Y147" s="440"/>
      <c r="Z147" s="471"/>
      <c r="AA147" s="472"/>
      <c r="AB147" s="472"/>
      <c r="AC147" s="472"/>
      <c r="AD147" s="472"/>
      <c r="AE147" s="473">
        <f t="shared" si="6"/>
        <v>0</v>
      </c>
      <c r="AF147" s="323"/>
      <c r="AG147" s="589" t="e">
        <f>VLOOKUP(B147,'[1]Feature Summary'!$A$7:$U$4028,21,FALSE)</f>
        <v>#N/A</v>
      </c>
      <c r="AH147" s="324"/>
    </row>
    <row r="148" spans="1:34" ht="30.75" thickBot="1" x14ac:dyDescent="0.3">
      <c r="A148" s="330" t="s">
        <v>848</v>
      </c>
      <c r="B148" s="567" t="s">
        <v>427</v>
      </c>
      <c r="C148" s="566" t="s">
        <v>310</v>
      </c>
      <c r="D148" s="570" t="s">
        <v>826</v>
      </c>
      <c r="E148" s="566" t="s">
        <v>849</v>
      </c>
      <c r="F148" s="566" t="s">
        <v>432</v>
      </c>
      <c r="G148" s="575" t="e">
        <f>VLOOKUP(A148,'[1]Feature Summary'!$A$7:$C$4028,3,FALSE)</f>
        <v>#N/A</v>
      </c>
      <c r="H148" s="564" t="s">
        <v>850</v>
      </c>
      <c r="I148" s="437" t="s">
        <v>315</v>
      </c>
      <c r="J148" s="564" t="s">
        <v>851</v>
      </c>
      <c r="K148" s="577">
        <v>1</v>
      </c>
      <c r="L148" s="570">
        <v>3</v>
      </c>
      <c r="M148" s="581" t="s">
        <v>39</v>
      </c>
      <c r="N148" s="584">
        <v>1</v>
      </c>
      <c r="O148" s="570">
        <v>3</v>
      </c>
      <c r="P148" s="585">
        <v>1</v>
      </c>
      <c r="Q148" s="587" t="s">
        <v>38</v>
      </c>
      <c r="R148" s="570">
        <v>3</v>
      </c>
      <c r="S148" s="570">
        <v>3</v>
      </c>
      <c r="T148" s="570">
        <v>3</v>
      </c>
      <c r="U148" s="472"/>
      <c r="V148" s="472"/>
      <c r="W148" s="472"/>
      <c r="X148" s="483">
        <f t="shared" si="5"/>
        <v>1</v>
      </c>
      <c r="Y148" s="440"/>
      <c r="Z148" s="471"/>
      <c r="AA148" s="472"/>
      <c r="AB148" s="472"/>
      <c r="AC148" s="472"/>
      <c r="AD148" s="472"/>
      <c r="AE148" s="473">
        <f t="shared" si="6"/>
        <v>0</v>
      </c>
      <c r="AF148" s="323"/>
      <c r="AG148" s="589" t="e">
        <f>VLOOKUP(B148,'[1]Feature Summary'!$A$7:$U$4028,21,FALSE)</f>
        <v>#N/A</v>
      </c>
      <c r="AH148" s="324"/>
    </row>
    <row r="149" spans="1:34" ht="15.75" thickBot="1" x14ac:dyDescent="0.3">
      <c r="A149" s="330" t="s">
        <v>852</v>
      </c>
      <c r="B149" s="566" t="s">
        <v>539</v>
      </c>
      <c r="C149" s="566" t="s">
        <v>310</v>
      </c>
      <c r="D149" s="570" t="s">
        <v>826</v>
      </c>
      <c r="E149" s="566" t="s">
        <v>853</v>
      </c>
      <c r="F149" s="566" t="s">
        <v>854</v>
      </c>
      <c r="G149" s="575" t="e">
        <f>VLOOKUP(A149,'[1]Feature Summary'!$A$7:$C$4028,3,FALSE)</f>
        <v>#N/A</v>
      </c>
      <c r="H149" s="564" t="s">
        <v>855</v>
      </c>
      <c r="I149" s="437" t="s">
        <v>315</v>
      </c>
      <c r="J149" s="564" t="s">
        <v>856</v>
      </c>
      <c r="K149" s="577">
        <v>1</v>
      </c>
      <c r="L149" s="570">
        <v>7</v>
      </c>
      <c r="M149" s="581" t="s">
        <v>39</v>
      </c>
      <c r="N149" s="584">
        <v>1</v>
      </c>
      <c r="O149" s="570">
        <v>7</v>
      </c>
      <c r="P149" s="585">
        <v>1</v>
      </c>
      <c r="Q149" s="587" t="s">
        <v>38</v>
      </c>
      <c r="R149" s="570">
        <v>7</v>
      </c>
      <c r="S149" s="570">
        <v>7</v>
      </c>
      <c r="T149" s="570">
        <v>7</v>
      </c>
      <c r="U149" s="472"/>
      <c r="V149" s="472"/>
      <c r="W149" s="472"/>
      <c r="X149" s="483">
        <f t="shared" si="5"/>
        <v>1</v>
      </c>
      <c r="Y149" s="440"/>
      <c r="Z149" s="471"/>
      <c r="AA149" s="472"/>
      <c r="AB149" s="472"/>
      <c r="AC149" s="472"/>
      <c r="AD149" s="472"/>
      <c r="AE149" s="473">
        <f t="shared" si="6"/>
        <v>0</v>
      </c>
      <c r="AF149" s="323"/>
      <c r="AG149" s="589" t="e">
        <f>VLOOKUP(B149,'[1]Feature Summary'!$A$7:$U$4028,21,FALSE)</f>
        <v>#N/A</v>
      </c>
      <c r="AH149" s="324"/>
    </row>
    <row r="150" spans="1:34" ht="15.75" thickBot="1" x14ac:dyDescent="0.3">
      <c r="A150" s="330" t="s">
        <v>857</v>
      </c>
      <c r="B150" s="566" t="s">
        <v>858</v>
      </c>
      <c r="C150" s="566" t="s">
        <v>310</v>
      </c>
      <c r="D150" s="570" t="s">
        <v>826</v>
      </c>
      <c r="E150" s="566" t="s">
        <v>859</v>
      </c>
      <c r="F150" s="566" t="s">
        <v>860</v>
      </c>
      <c r="G150" s="575" t="e">
        <f>VLOOKUP(A150,'[1]Feature Summary'!$A$7:$C$4028,3,FALSE)</f>
        <v>#N/A</v>
      </c>
      <c r="H150" s="564" t="s">
        <v>861</v>
      </c>
      <c r="I150" s="437" t="s">
        <v>315</v>
      </c>
      <c r="J150" s="564" t="s">
        <v>47</v>
      </c>
      <c r="K150" s="577">
        <v>1</v>
      </c>
      <c r="L150" s="570">
        <v>5</v>
      </c>
      <c r="M150" s="581" t="s">
        <v>39</v>
      </c>
      <c r="N150" s="584">
        <v>1</v>
      </c>
      <c r="O150" s="570">
        <v>5</v>
      </c>
      <c r="P150" s="585">
        <v>1</v>
      </c>
      <c r="Q150" s="587" t="s">
        <v>38</v>
      </c>
      <c r="R150" s="570">
        <v>5</v>
      </c>
      <c r="S150" s="570">
        <v>5</v>
      </c>
      <c r="T150" s="570">
        <v>5</v>
      </c>
      <c r="U150" s="472"/>
      <c r="V150" s="472"/>
      <c r="W150" s="472"/>
      <c r="X150" s="483">
        <f t="shared" si="5"/>
        <v>1</v>
      </c>
      <c r="Y150" s="440"/>
      <c r="Z150" s="471"/>
      <c r="AA150" s="472"/>
      <c r="AB150" s="472"/>
      <c r="AC150" s="472"/>
      <c r="AD150" s="472"/>
      <c r="AE150" s="473">
        <f t="shared" si="6"/>
        <v>0</v>
      </c>
      <c r="AF150" s="323"/>
      <c r="AG150" s="589" t="e">
        <f>VLOOKUP(B150,'[1]Feature Summary'!$A$7:$U$4028,21,FALSE)</f>
        <v>#N/A</v>
      </c>
      <c r="AH150" s="324"/>
    </row>
    <row r="151" spans="1:34" ht="15.75" thickBot="1" x14ac:dyDescent="0.3">
      <c r="A151" s="330" t="s">
        <v>862</v>
      </c>
      <c r="B151" s="566" t="s">
        <v>574</v>
      </c>
      <c r="C151" s="566" t="s">
        <v>310</v>
      </c>
      <c r="D151" s="570" t="s">
        <v>826</v>
      </c>
      <c r="E151" s="566" t="s">
        <v>863</v>
      </c>
      <c r="F151" s="566" t="s">
        <v>864</v>
      </c>
      <c r="G151" s="575" t="e">
        <f>VLOOKUP(A151,'[1]Feature Summary'!$A$7:$C$4028,3,FALSE)</f>
        <v>#N/A</v>
      </c>
      <c r="H151" s="564" t="s">
        <v>865</v>
      </c>
      <c r="I151" s="437" t="s">
        <v>315</v>
      </c>
      <c r="J151" s="564" t="s">
        <v>866</v>
      </c>
      <c r="K151" s="577">
        <v>1</v>
      </c>
      <c r="L151" s="570">
        <v>6</v>
      </c>
      <c r="M151" s="581" t="s">
        <v>39</v>
      </c>
      <c r="N151" s="584">
        <v>1</v>
      </c>
      <c r="O151" s="570">
        <v>6</v>
      </c>
      <c r="P151" s="585">
        <v>1</v>
      </c>
      <c r="Q151" s="587" t="s">
        <v>38</v>
      </c>
      <c r="R151" s="570">
        <v>6</v>
      </c>
      <c r="S151" s="570">
        <v>6</v>
      </c>
      <c r="T151" s="570">
        <v>6</v>
      </c>
      <c r="U151" s="472"/>
      <c r="V151" s="472"/>
      <c r="W151" s="472"/>
      <c r="X151" s="483">
        <f t="shared" si="5"/>
        <v>1</v>
      </c>
      <c r="Y151" s="440"/>
      <c r="Z151" s="471"/>
      <c r="AA151" s="472"/>
      <c r="AB151" s="472"/>
      <c r="AC151" s="472"/>
      <c r="AD151" s="472"/>
      <c r="AE151" s="473">
        <f t="shared" si="6"/>
        <v>0</v>
      </c>
      <c r="AF151" s="323"/>
      <c r="AG151" s="589" t="e">
        <f>VLOOKUP(B151,'[1]Feature Summary'!$A$7:$U$4028,21,FALSE)</f>
        <v>#N/A</v>
      </c>
      <c r="AH151" s="324"/>
    </row>
    <row r="152" spans="1:34" ht="15.75" thickBot="1" x14ac:dyDescent="0.3">
      <c r="A152" s="330" t="s">
        <v>867</v>
      </c>
      <c r="B152" s="566" t="s">
        <v>580</v>
      </c>
      <c r="C152" s="566" t="s">
        <v>310</v>
      </c>
      <c r="D152" s="570" t="s">
        <v>826</v>
      </c>
      <c r="E152" s="566" t="s">
        <v>868</v>
      </c>
      <c r="F152" s="566" t="s">
        <v>869</v>
      </c>
      <c r="G152" s="575" t="e">
        <f>VLOOKUP(A152,'[1]Feature Summary'!$A$7:$C$4028,3,FALSE)</f>
        <v>#N/A</v>
      </c>
      <c r="H152" s="564" t="s">
        <v>870</v>
      </c>
      <c r="I152" s="437" t="s">
        <v>315</v>
      </c>
      <c r="J152" s="564" t="s">
        <v>47</v>
      </c>
      <c r="K152" s="577">
        <v>1</v>
      </c>
      <c r="L152" s="570">
        <v>14</v>
      </c>
      <c r="M152" s="581" t="s">
        <v>39</v>
      </c>
      <c r="N152" s="584">
        <v>1</v>
      </c>
      <c r="O152" s="570">
        <v>14</v>
      </c>
      <c r="P152" s="585">
        <v>1</v>
      </c>
      <c r="Q152" s="587" t="s">
        <v>38</v>
      </c>
      <c r="R152" s="570">
        <v>14</v>
      </c>
      <c r="S152" s="570">
        <v>14</v>
      </c>
      <c r="T152" s="570">
        <v>14</v>
      </c>
      <c r="U152" s="472"/>
      <c r="V152" s="472"/>
      <c r="W152" s="472"/>
      <c r="X152" s="483">
        <f t="shared" si="5"/>
        <v>1</v>
      </c>
      <c r="Y152" s="440"/>
      <c r="Z152" s="471"/>
      <c r="AA152" s="472"/>
      <c r="AB152" s="472"/>
      <c r="AC152" s="472"/>
      <c r="AD152" s="472"/>
      <c r="AE152" s="473">
        <f t="shared" si="6"/>
        <v>0</v>
      </c>
      <c r="AF152" s="323"/>
      <c r="AG152" s="589" t="e">
        <f>VLOOKUP(B152,'[1]Feature Summary'!$A$7:$U$4028,21,FALSE)</f>
        <v>#N/A</v>
      </c>
      <c r="AH152" s="324"/>
    </row>
    <row r="153" spans="1:34" ht="15.75" hidden="1" thickBot="1" x14ac:dyDescent="0.3">
      <c r="A153" s="330" t="s">
        <v>871</v>
      </c>
      <c r="B153" s="566" t="s">
        <v>872</v>
      </c>
      <c r="C153" s="566" t="s">
        <v>310</v>
      </c>
      <c r="D153" s="570" t="s">
        <v>826</v>
      </c>
      <c r="E153" s="566" t="s">
        <v>873</v>
      </c>
      <c r="F153" s="566" t="s">
        <v>872</v>
      </c>
      <c r="G153" s="575" t="e">
        <f>VLOOKUP(A153,'[1]Feature Summary'!$A$7:$C$4028,3,FALSE)</f>
        <v>#N/A</v>
      </c>
      <c r="H153" s="564" t="s">
        <v>874</v>
      </c>
      <c r="I153" s="437" t="s">
        <v>315</v>
      </c>
      <c r="J153" s="564" t="s">
        <v>47</v>
      </c>
      <c r="K153" s="577">
        <v>1</v>
      </c>
      <c r="L153" s="570">
        <v>1</v>
      </c>
      <c r="M153" s="581" t="s">
        <v>39</v>
      </c>
      <c r="N153" s="584">
        <v>1</v>
      </c>
      <c r="O153" s="570">
        <v>1</v>
      </c>
      <c r="P153" s="585">
        <v>1</v>
      </c>
      <c r="Q153" s="587" t="s">
        <v>38</v>
      </c>
      <c r="R153" s="570">
        <v>1</v>
      </c>
      <c r="S153" s="570">
        <v>1</v>
      </c>
      <c r="T153" s="570">
        <v>1</v>
      </c>
      <c r="U153" s="472"/>
      <c r="V153" s="472"/>
      <c r="W153" s="472"/>
      <c r="X153" s="483">
        <f t="shared" si="5"/>
        <v>1</v>
      </c>
      <c r="Y153" s="440"/>
      <c r="Z153" s="471"/>
      <c r="AA153" s="472"/>
      <c r="AB153" s="472"/>
      <c r="AC153" s="472"/>
      <c r="AD153" s="472"/>
      <c r="AE153" s="473">
        <f t="shared" si="6"/>
        <v>0</v>
      </c>
      <c r="AF153" s="323"/>
      <c r="AG153" s="589" t="e">
        <f>VLOOKUP(B153,'[1]Feature Summary'!$A$7:$U$4028,21,FALSE)</f>
        <v>#N/A</v>
      </c>
      <c r="AH153" s="324"/>
    </row>
    <row r="154" spans="1:34" ht="15.75" hidden="1" thickBot="1" x14ac:dyDescent="0.3">
      <c r="A154" s="330" t="s">
        <v>875</v>
      </c>
      <c r="B154" s="566" t="s">
        <v>872</v>
      </c>
      <c r="C154" s="566" t="s">
        <v>310</v>
      </c>
      <c r="D154" s="570" t="s">
        <v>826</v>
      </c>
      <c r="E154" s="566" t="s">
        <v>876</v>
      </c>
      <c r="F154" s="566" t="s">
        <v>872</v>
      </c>
      <c r="G154" s="575" t="e">
        <f>VLOOKUP(A154,'[1]Feature Summary'!$A$7:$C$4028,3,FALSE)</f>
        <v>#N/A</v>
      </c>
      <c r="H154" s="564" t="s">
        <v>877</v>
      </c>
      <c r="I154" s="437" t="s">
        <v>315</v>
      </c>
      <c r="J154" s="564" t="s">
        <v>47</v>
      </c>
      <c r="K154" s="577">
        <v>1</v>
      </c>
      <c r="L154" s="570">
        <v>1</v>
      </c>
      <c r="M154" s="581" t="s">
        <v>39</v>
      </c>
      <c r="N154" s="584">
        <v>1</v>
      </c>
      <c r="O154" s="570">
        <v>1</v>
      </c>
      <c r="P154" s="585">
        <v>1</v>
      </c>
      <c r="Q154" s="587" t="s">
        <v>38</v>
      </c>
      <c r="R154" s="570">
        <v>1</v>
      </c>
      <c r="S154" s="570">
        <v>1</v>
      </c>
      <c r="T154" s="570">
        <v>1</v>
      </c>
      <c r="U154" s="472"/>
      <c r="V154" s="472"/>
      <c r="W154" s="472"/>
      <c r="X154" s="483">
        <f t="shared" si="5"/>
        <v>1</v>
      </c>
      <c r="Y154" s="440"/>
      <c r="Z154" s="471"/>
      <c r="AA154" s="472"/>
      <c r="AB154" s="472"/>
      <c r="AC154" s="472"/>
      <c r="AD154" s="472"/>
      <c r="AE154" s="473">
        <f t="shared" si="6"/>
        <v>0</v>
      </c>
      <c r="AF154" s="323"/>
      <c r="AG154" s="589" t="e">
        <f>VLOOKUP(B154,'[1]Feature Summary'!$A$7:$U$4028,21,FALSE)</f>
        <v>#N/A</v>
      </c>
      <c r="AH154" s="324"/>
    </row>
    <row r="155" spans="1:34" ht="15.75" thickBot="1" x14ac:dyDescent="0.3">
      <c r="A155" s="330" t="s">
        <v>878</v>
      </c>
      <c r="B155" s="566" t="s">
        <v>611</v>
      </c>
      <c r="C155" s="566" t="s">
        <v>310</v>
      </c>
      <c r="D155" s="570" t="s">
        <v>826</v>
      </c>
      <c r="E155" s="566" t="s">
        <v>879</v>
      </c>
      <c r="F155" s="566" t="s">
        <v>611</v>
      </c>
      <c r="G155" s="575" t="e">
        <f>VLOOKUP(A155,'[1]Feature Summary'!$A$7:$C$4028,3,FALSE)</f>
        <v>#N/A</v>
      </c>
      <c r="H155" s="564" t="s">
        <v>880</v>
      </c>
      <c r="I155" s="437" t="s">
        <v>315</v>
      </c>
      <c r="J155" s="564" t="s">
        <v>47</v>
      </c>
      <c r="K155" s="577">
        <v>1</v>
      </c>
      <c r="L155" s="570">
        <v>3</v>
      </c>
      <c r="M155" s="581" t="s">
        <v>39</v>
      </c>
      <c r="N155" s="584">
        <v>1</v>
      </c>
      <c r="O155" s="570">
        <v>3</v>
      </c>
      <c r="P155" s="585">
        <v>1</v>
      </c>
      <c r="Q155" s="587" t="s">
        <v>38</v>
      </c>
      <c r="R155" s="570">
        <v>3</v>
      </c>
      <c r="S155" s="570">
        <v>3</v>
      </c>
      <c r="T155" s="570">
        <v>3</v>
      </c>
      <c r="U155" s="472"/>
      <c r="V155" s="472"/>
      <c r="W155" s="472"/>
      <c r="X155" s="483">
        <f t="shared" si="5"/>
        <v>1</v>
      </c>
      <c r="Y155" s="440"/>
      <c r="Z155" s="471"/>
      <c r="AA155" s="472"/>
      <c r="AB155" s="472"/>
      <c r="AC155" s="472"/>
      <c r="AD155" s="472"/>
      <c r="AE155" s="473">
        <f t="shared" si="6"/>
        <v>0</v>
      </c>
      <c r="AF155" s="323"/>
      <c r="AG155" s="589" t="e">
        <f>VLOOKUP(B155,'[1]Feature Summary'!$A$7:$U$4028,21,FALSE)</f>
        <v>#N/A</v>
      </c>
      <c r="AH155" s="324"/>
    </row>
    <row r="156" spans="1:34" ht="15.75" thickBot="1" x14ac:dyDescent="0.3">
      <c r="A156" s="330" t="s">
        <v>881</v>
      </c>
      <c r="B156" s="566" t="s">
        <v>464</v>
      </c>
      <c r="C156" s="566" t="s">
        <v>310</v>
      </c>
      <c r="D156" s="570" t="s">
        <v>826</v>
      </c>
      <c r="E156" s="566" t="s">
        <v>882</v>
      </c>
      <c r="F156" s="566" t="s">
        <v>466</v>
      </c>
      <c r="G156" s="575" t="e">
        <f>VLOOKUP(A156,'[1]Feature Summary'!$A$7:$C$4028,3,FALSE)</f>
        <v>#N/A</v>
      </c>
      <c r="H156" s="564" t="s">
        <v>883</v>
      </c>
      <c r="I156" s="437" t="s">
        <v>315</v>
      </c>
      <c r="J156" s="564" t="s">
        <v>47</v>
      </c>
      <c r="K156" s="577">
        <v>1</v>
      </c>
      <c r="L156" s="570">
        <v>5</v>
      </c>
      <c r="M156" s="581" t="s">
        <v>39</v>
      </c>
      <c r="N156" s="584">
        <v>1</v>
      </c>
      <c r="O156" s="570">
        <v>5</v>
      </c>
      <c r="P156" s="585">
        <v>1</v>
      </c>
      <c r="Q156" s="587" t="s">
        <v>38</v>
      </c>
      <c r="R156" s="570">
        <v>5</v>
      </c>
      <c r="S156" s="570">
        <v>5</v>
      </c>
      <c r="T156" s="570">
        <v>5</v>
      </c>
      <c r="U156" s="472"/>
      <c r="V156" s="472"/>
      <c r="W156" s="472"/>
      <c r="X156" s="483">
        <f t="shared" si="5"/>
        <v>1</v>
      </c>
      <c r="Y156" s="440"/>
      <c r="Z156" s="471"/>
      <c r="AA156" s="472"/>
      <c r="AB156" s="472"/>
      <c r="AC156" s="472"/>
      <c r="AD156" s="472"/>
      <c r="AE156" s="473">
        <f t="shared" si="6"/>
        <v>0</v>
      </c>
      <c r="AF156" s="323"/>
      <c r="AG156" s="589" t="e">
        <f>VLOOKUP(B156,'[1]Feature Summary'!$A$7:$U$4028,21,FALSE)</f>
        <v>#N/A</v>
      </c>
      <c r="AH156" s="324"/>
    </row>
    <row r="157" spans="1:34" ht="15.75" thickBot="1" x14ac:dyDescent="0.3">
      <c r="A157" s="330" t="s">
        <v>884</v>
      </c>
      <c r="B157" s="566" t="s">
        <v>885</v>
      </c>
      <c r="C157" s="566" t="s">
        <v>310</v>
      </c>
      <c r="D157" s="570" t="s">
        <v>826</v>
      </c>
      <c r="E157" s="566" t="s">
        <v>886</v>
      </c>
      <c r="F157" s="566" t="s">
        <v>887</v>
      </c>
      <c r="G157" s="575" t="s">
        <v>280</v>
      </c>
      <c r="H157" s="564" t="s">
        <v>888</v>
      </c>
      <c r="I157" s="437" t="s">
        <v>315</v>
      </c>
      <c r="J157" s="564" t="s">
        <v>47</v>
      </c>
      <c r="K157" s="577">
        <v>1</v>
      </c>
      <c r="L157" s="570">
        <v>3</v>
      </c>
      <c r="M157" s="581" t="s">
        <v>39</v>
      </c>
      <c r="N157" s="584">
        <v>1</v>
      </c>
      <c r="O157" s="570">
        <v>3</v>
      </c>
      <c r="P157" s="585">
        <v>1</v>
      </c>
      <c r="Q157" s="587" t="s">
        <v>48</v>
      </c>
      <c r="R157" s="570">
        <v>3</v>
      </c>
      <c r="S157" s="570">
        <v>3</v>
      </c>
      <c r="T157" s="570">
        <v>3</v>
      </c>
      <c r="U157" s="472"/>
      <c r="V157" s="472"/>
      <c r="W157" s="472"/>
      <c r="X157" s="483">
        <f t="shared" si="5"/>
        <v>1</v>
      </c>
      <c r="Y157" s="440"/>
      <c r="Z157" s="471"/>
      <c r="AA157" s="472"/>
      <c r="AB157" s="472"/>
      <c r="AC157" s="472"/>
      <c r="AD157" s="472"/>
      <c r="AE157" s="473">
        <f t="shared" si="6"/>
        <v>0</v>
      </c>
      <c r="AF157" s="323"/>
      <c r="AG157" s="589" t="e">
        <f>VLOOKUP(B157,'[1]Feature Summary'!$A$7:$U$4028,21,FALSE)</f>
        <v>#N/A</v>
      </c>
      <c r="AH157" s="324"/>
    </row>
    <row r="158" spans="1:34" ht="15.75" hidden="1" thickBot="1" x14ac:dyDescent="0.3">
      <c r="A158" s="330" t="s">
        <v>889</v>
      </c>
      <c r="B158" s="564" t="s">
        <v>440</v>
      </c>
      <c r="C158" s="566" t="s">
        <v>310</v>
      </c>
      <c r="D158" s="570" t="s">
        <v>826</v>
      </c>
      <c r="E158" s="566" t="s">
        <v>441</v>
      </c>
      <c r="F158" s="564" t="s">
        <v>442</v>
      </c>
      <c r="G158" s="575" t="s">
        <v>280</v>
      </c>
      <c r="H158" s="564" t="s">
        <v>890</v>
      </c>
      <c r="I158" s="437" t="s">
        <v>315</v>
      </c>
      <c r="J158" s="564" t="s">
        <v>47</v>
      </c>
      <c r="K158" s="577">
        <v>1</v>
      </c>
      <c r="L158" s="579">
        <v>1</v>
      </c>
      <c r="M158" s="581" t="s">
        <v>39</v>
      </c>
      <c r="N158" s="584">
        <v>1</v>
      </c>
      <c r="O158" s="579">
        <v>1</v>
      </c>
      <c r="P158" s="585">
        <v>1</v>
      </c>
      <c r="Q158" s="587" t="s">
        <v>38</v>
      </c>
      <c r="R158" s="579">
        <v>1</v>
      </c>
      <c r="S158" s="579">
        <v>1</v>
      </c>
      <c r="T158" s="579">
        <v>1</v>
      </c>
      <c r="U158" s="472"/>
      <c r="V158" s="472"/>
      <c r="W158" s="472"/>
      <c r="X158" s="483">
        <f t="shared" si="5"/>
        <v>1</v>
      </c>
      <c r="Y158" s="440"/>
      <c r="Z158" s="471"/>
      <c r="AA158" s="472"/>
      <c r="AB158" s="472"/>
      <c r="AC158" s="472"/>
      <c r="AD158" s="472"/>
      <c r="AE158" s="473">
        <f t="shared" si="6"/>
        <v>0</v>
      </c>
      <c r="AF158" s="323"/>
      <c r="AG158" s="589" t="e">
        <f>VLOOKUP(B158,'[1]Feature Summary'!$A$7:$U$4028,21,FALSE)</f>
        <v>#N/A</v>
      </c>
      <c r="AH158" s="324"/>
    </row>
    <row r="159" spans="1:34" ht="15.75" thickBot="1" x14ac:dyDescent="0.3">
      <c r="A159" s="330" t="s">
        <v>891</v>
      </c>
      <c r="B159" s="564" t="s">
        <v>456</v>
      </c>
      <c r="C159" s="566" t="s">
        <v>310</v>
      </c>
      <c r="D159" s="570" t="s">
        <v>826</v>
      </c>
      <c r="E159" s="566" t="s">
        <v>892</v>
      </c>
      <c r="F159" s="564" t="s">
        <v>458</v>
      </c>
      <c r="G159" s="575" t="s">
        <v>280</v>
      </c>
      <c r="H159" s="564" t="s">
        <v>893</v>
      </c>
      <c r="I159" s="437" t="s">
        <v>315</v>
      </c>
      <c r="J159" s="564" t="s">
        <v>47</v>
      </c>
      <c r="K159" s="577">
        <v>1</v>
      </c>
      <c r="L159" s="579">
        <v>5</v>
      </c>
      <c r="M159" s="581" t="s">
        <v>39</v>
      </c>
      <c r="N159" s="584">
        <v>1</v>
      </c>
      <c r="O159" s="579">
        <v>5</v>
      </c>
      <c r="P159" s="585">
        <v>1</v>
      </c>
      <c r="Q159" s="587" t="s">
        <v>38</v>
      </c>
      <c r="R159" s="579">
        <v>5</v>
      </c>
      <c r="S159" s="579">
        <v>5</v>
      </c>
      <c r="T159" s="579">
        <v>5</v>
      </c>
      <c r="U159" s="472"/>
      <c r="V159" s="472"/>
      <c r="W159" s="472"/>
      <c r="X159" s="483">
        <f t="shared" si="5"/>
        <v>1</v>
      </c>
      <c r="Y159" s="440"/>
      <c r="Z159" s="471"/>
      <c r="AA159" s="472"/>
      <c r="AB159" s="472"/>
      <c r="AC159" s="472"/>
      <c r="AD159" s="472"/>
      <c r="AE159" s="473">
        <f t="shared" si="6"/>
        <v>0</v>
      </c>
      <c r="AF159" s="323"/>
      <c r="AG159" s="589" t="e">
        <f>VLOOKUP(B159,'[1]Feature Summary'!$A$7:$U$4028,21,FALSE)</f>
        <v>#N/A</v>
      </c>
      <c r="AH159" s="324"/>
    </row>
    <row r="160" spans="1:34" ht="15.75" thickBot="1" x14ac:dyDescent="0.3">
      <c r="A160" s="330" t="s">
        <v>894</v>
      </c>
      <c r="B160" s="566" t="s">
        <v>895</v>
      </c>
      <c r="C160" s="566" t="s">
        <v>310</v>
      </c>
      <c r="D160" s="570" t="s">
        <v>895</v>
      </c>
      <c r="E160" s="566" t="s">
        <v>896</v>
      </c>
      <c r="F160" s="566" t="s">
        <v>897</v>
      </c>
      <c r="G160" s="575" t="s">
        <v>280</v>
      </c>
      <c r="H160" s="564" t="s">
        <v>898</v>
      </c>
      <c r="I160" s="437" t="s">
        <v>315</v>
      </c>
      <c r="J160" s="564" t="s">
        <v>899</v>
      </c>
      <c r="K160" s="577">
        <v>1</v>
      </c>
      <c r="L160" s="570">
        <v>15</v>
      </c>
      <c r="M160" s="581" t="s">
        <v>39</v>
      </c>
      <c r="N160" s="584">
        <v>1</v>
      </c>
      <c r="O160" s="570">
        <v>15</v>
      </c>
      <c r="P160" s="585">
        <v>1</v>
      </c>
      <c r="Q160" s="587" t="s">
        <v>48</v>
      </c>
      <c r="R160" s="570">
        <v>15</v>
      </c>
      <c r="S160" s="570">
        <v>15</v>
      </c>
      <c r="T160" s="570">
        <v>15</v>
      </c>
      <c r="U160" s="472"/>
      <c r="V160" s="472"/>
      <c r="W160" s="472"/>
      <c r="X160" s="483">
        <f t="shared" si="5"/>
        <v>1</v>
      </c>
      <c r="Y160" s="440"/>
      <c r="Z160" s="471"/>
      <c r="AA160" s="472"/>
      <c r="AB160" s="472"/>
      <c r="AC160" s="472"/>
      <c r="AD160" s="472"/>
      <c r="AE160" s="473">
        <f t="shared" si="6"/>
        <v>0</v>
      </c>
      <c r="AF160" s="323"/>
      <c r="AG160" s="589" t="e">
        <f>VLOOKUP(B160,'[1]Feature Summary'!$A$7:$U$4028,21,FALSE)</f>
        <v>#N/A</v>
      </c>
      <c r="AH160" s="324"/>
    </row>
    <row r="161" spans="1:34" ht="15.75" thickBot="1" x14ac:dyDescent="0.3">
      <c r="A161" s="330" t="s">
        <v>900</v>
      </c>
      <c r="B161" s="566" t="s">
        <v>885</v>
      </c>
      <c r="C161" s="566" t="s">
        <v>310</v>
      </c>
      <c r="D161" s="570" t="s">
        <v>901</v>
      </c>
      <c r="E161" s="566" t="s">
        <v>902</v>
      </c>
      <c r="F161" s="564" t="s">
        <v>437</v>
      </c>
      <c r="G161" s="575" t="s">
        <v>280</v>
      </c>
      <c r="H161" s="564" t="s">
        <v>903</v>
      </c>
      <c r="I161" s="437" t="s">
        <v>315</v>
      </c>
      <c r="J161" s="564" t="s">
        <v>47</v>
      </c>
      <c r="K161" s="577">
        <v>1</v>
      </c>
      <c r="L161" s="570">
        <v>3</v>
      </c>
      <c r="M161" s="581" t="s">
        <v>39</v>
      </c>
      <c r="N161" s="584">
        <v>1</v>
      </c>
      <c r="O161" s="570">
        <v>3</v>
      </c>
      <c r="P161" s="585">
        <v>1</v>
      </c>
      <c r="Q161" s="587" t="s">
        <v>38</v>
      </c>
      <c r="R161" s="570">
        <v>3</v>
      </c>
      <c r="S161" s="570">
        <v>3</v>
      </c>
      <c r="T161" s="570">
        <v>3</v>
      </c>
      <c r="U161" s="472"/>
      <c r="V161" s="472"/>
      <c r="W161" s="472"/>
      <c r="X161" s="483">
        <f t="shared" si="5"/>
        <v>1</v>
      </c>
      <c r="Y161" s="440"/>
      <c r="Z161" s="471"/>
      <c r="AA161" s="472"/>
      <c r="AB161" s="472"/>
      <c r="AC161" s="472"/>
      <c r="AD161" s="472"/>
      <c r="AE161" s="473">
        <f t="shared" si="6"/>
        <v>0</v>
      </c>
      <c r="AF161" s="323"/>
      <c r="AG161" s="589" t="e">
        <f>VLOOKUP(B161,'[1]Feature Summary'!$A$7:$U$4028,21,FALSE)</f>
        <v>#N/A</v>
      </c>
      <c r="AH161" s="324"/>
    </row>
    <row r="162" spans="1:34" ht="15.75" thickBot="1" x14ac:dyDescent="0.3">
      <c r="A162" s="330" t="s">
        <v>904</v>
      </c>
      <c r="B162" s="566" t="s">
        <v>905</v>
      </c>
      <c r="C162" s="566" t="s">
        <v>310</v>
      </c>
      <c r="D162" s="570" t="s">
        <v>906</v>
      </c>
      <c r="E162" s="566" t="s">
        <v>907</v>
      </c>
      <c r="F162" s="564" t="s">
        <v>469</v>
      </c>
      <c r="G162" s="575" t="s">
        <v>280</v>
      </c>
      <c r="H162" s="564" t="s">
        <v>908</v>
      </c>
      <c r="I162" s="437" t="s">
        <v>35</v>
      </c>
      <c r="J162" s="564" t="s">
        <v>359</v>
      </c>
      <c r="K162" s="577">
        <v>1</v>
      </c>
      <c r="L162" s="570">
        <v>2</v>
      </c>
      <c r="M162" s="581" t="s">
        <v>39</v>
      </c>
      <c r="N162" s="584">
        <v>1</v>
      </c>
      <c r="O162" s="570">
        <v>2</v>
      </c>
      <c r="P162" s="585">
        <v>1</v>
      </c>
      <c r="Q162" s="587" t="s">
        <v>38</v>
      </c>
      <c r="R162" s="570">
        <v>2</v>
      </c>
      <c r="S162" s="570">
        <v>2</v>
      </c>
      <c r="T162" s="570">
        <v>2</v>
      </c>
      <c r="U162" s="472"/>
      <c r="V162" s="472"/>
      <c r="W162" s="472"/>
      <c r="X162" s="483">
        <f t="shared" si="5"/>
        <v>1</v>
      </c>
      <c r="Y162" s="440"/>
      <c r="Z162" s="471"/>
      <c r="AA162" s="472"/>
      <c r="AB162" s="472"/>
      <c r="AC162" s="472"/>
      <c r="AD162" s="472"/>
      <c r="AE162" s="473">
        <f t="shared" si="6"/>
        <v>0</v>
      </c>
      <c r="AF162" s="323"/>
      <c r="AG162" s="589" t="e">
        <f>VLOOKUP(B162,'[1]Feature Summary'!$A$7:$U$4028,21,FALSE)</f>
        <v>#N/A</v>
      </c>
      <c r="AH162" s="324"/>
    </row>
    <row r="163" spans="1:34" ht="15.75" hidden="1" thickBot="1" x14ac:dyDescent="0.3">
      <c r="A163" s="330" t="s">
        <v>909</v>
      </c>
      <c r="B163" s="566" t="s">
        <v>910</v>
      </c>
      <c r="C163" s="566" t="s">
        <v>310</v>
      </c>
      <c r="D163" s="570" t="s">
        <v>910</v>
      </c>
      <c r="E163" s="566" t="s">
        <v>911</v>
      </c>
      <c r="F163" s="564" t="s">
        <v>910</v>
      </c>
      <c r="G163" s="575" t="s">
        <v>280</v>
      </c>
      <c r="H163" s="564" t="s">
        <v>912</v>
      </c>
      <c r="I163" s="437" t="s">
        <v>315</v>
      </c>
      <c r="J163" s="564" t="s">
        <v>47</v>
      </c>
      <c r="K163" s="577">
        <v>1</v>
      </c>
      <c r="L163" s="570">
        <v>1</v>
      </c>
      <c r="M163" s="581" t="s">
        <v>39</v>
      </c>
      <c r="N163" s="584">
        <v>1</v>
      </c>
      <c r="O163" s="570">
        <v>1</v>
      </c>
      <c r="P163" s="585">
        <v>1</v>
      </c>
      <c r="Q163" s="587" t="s">
        <v>48</v>
      </c>
      <c r="R163" s="570">
        <v>1</v>
      </c>
      <c r="S163" s="570">
        <v>1</v>
      </c>
      <c r="T163" s="570">
        <v>1</v>
      </c>
      <c r="U163" s="472"/>
      <c r="V163" s="472"/>
      <c r="W163" s="472"/>
      <c r="X163" s="483">
        <f t="shared" si="5"/>
        <v>1</v>
      </c>
      <c r="Y163" s="440"/>
      <c r="Z163" s="471"/>
      <c r="AA163" s="472"/>
      <c r="AB163" s="472"/>
      <c r="AC163" s="472"/>
      <c r="AD163" s="472"/>
      <c r="AE163" s="473">
        <f t="shared" si="6"/>
        <v>0</v>
      </c>
      <c r="AF163" s="323"/>
      <c r="AG163" s="589" t="e">
        <f>VLOOKUP(B163,'[1]Feature Summary'!$A$7:$U$4028,21,FALSE)</f>
        <v>#N/A</v>
      </c>
      <c r="AH163" s="324"/>
    </row>
    <row r="164" spans="1:34" ht="15.75" thickBot="1" x14ac:dyDescent="0.3">
      <c r="A164" s="330" t="s">
        <v>913</v>
      </c>
      <c r="B164" s="566" t="s">
        <v>914</v>
      </c>
      <c r="C164" s="566" t="s">
        <v>310</v>
      </c>
      <c r="D164" s="570" t="s">
        <v>914</v>
      </c>
      <c r="E164" s="566" t="s">
        <v>915</v>
      </c>
      <c r="F164" s="566" t="s">
        <v>914</v>
      </c>
      <c r="G164" s="575" t="s">
        <v>280</v>
      </c>
      <c r="H164" s="564" t="s">
        <v>916</v>
      </c>
      <c r="I164" s="437" t="s">
        <v>315</v>
      </c>
      <c r="J164" s="564" t="s">
        <v>47</v>
      </c>
      <c r="K164" s="577">
        <v>1</v>
      </c>
      <c r="L164" s="570">
        <v>6</v>
      </c>
      <c r="M164" s="581" t="s">
        <v>39</v>
      </c>
      <c r="N164" s="584">
        <v>1</v>
      </c>
      <c r="O164" s="570">
        <v>6</v>
      </c>
      <c r="P164" s="585">
        <v>1</v>
      </c>
      <c r="Q164" s="587" t="s">
        <v>48</v>
      </c>
      <c r="R164" s="570">
        <v>6</v>
      </c>
      <c r="S164" s="570">
        <v>6</v>
      </c>
      <c r="T164" s="570">
        <v>6</v>
      </c>
      <c r="U164" s="472"/>
      <c r="V164" s="472"/>
      <c r="W164" s="472"/>
      <c r="X164" s="483">
        <f t="shared" si="5"/>
        <v>1</v>
      </c>
      <c r="Y164" s="440"/>
      <c r="Z164" s="471"/>
      <c r="AA164" s="472"/>
      <c r="AB164" s="472"/>
      <c r="AC164" s="472"/>
      <c r="AD164" s="472"/>
      <c r="AE164" s="473">
        <f t="shared" si="6"/>
        <v>0</v>
      </c>
      <c r="AF164" s="323"/>
      <c r="AG164" s="589" t="e">
        <f>VLOOKUP(B164,'[1]Feature Summary'!$A$7:$U$4028,21,FALSE)</f>
        <v>#N/A</v>
      </c>
      <c r="AH164" s="324"/>
    </row>
    <row r="165" spans="1:34" ht="15.75" thickBot="1" x14ac:dyDescent="0.3">
      <c r="A165" s="330" t="s">
        <v>917</v>
      </c>
      <c r="B165" s="566" t="s">
        <v>918</v>
      </c>
      <c r="C165" s="566" t="s">
        <v>310</v>
      </c>
      <c r="D165" s="570" t="s">
        <v>919</v>
      </c>
      <c r="E165" s="566" t="s">
        <v>920</v>
      </c>
      <c r="F165" s="566" t="s">
        <v>921</v>
      </c>
      <c r="G165" s="575" t="s">
        <v>280</v>
      </c>
      <c r="H165" s="564" t="s">
        <v>922</v>
      </c>
      <c r="I165" s="437" t="s">
        <v>315</v>
      </c>
      <c r="J165" s="564" t="s">
        <v>47</v>
      </c>
      <c r="K165" s="577">
        <v>1</v>
      </c>
      <c r="L165" s="570">
        <v>4</v>
      </c>
      <c r="M165" s="581" t="s">
        <v>39</v>
      </c>
      <c r="N165" s="584">
        <v>1</v>
      </c>
      <c r="O165" s="570">
        <v>4</v>
      </c>
      <c r="P165" s="585">
        <v>1</v>
      </c>
      <c r="Q165" s="587" t="s">
        <v>48</v>
      </c>
      <c r="R165" s="570">
        <v>4</v>
      </c>
      <c r="S165" s="570">
        <v>4</v>
      </c>
      <c r="T165" s="570">
        <v>4</v>
      </c>
      <c r="U165" s="472"/>
      <c r="V165" s="472"/>
      <c r="W165" s="472"/>
      <c r="X165" s="483">
        <f t="shared" si="5"/>
        <v>1</v>
      </c>
      <c r="Y165" s="440"/>
      <c r="Z165" s="471"/>
      <c r="AA165" s="472"/>
      <c r="AB165" s="472"/>
      <c r="AC165" s="472"/>
      <c r="AD165" s="472"/>
      <c r="AE165" s="473">
        <f t="shared" si="6"/>
        <v>0</v>
      </c>
      <c r="AF165" s="323"/>
      <c r="AG165" s="589" t="e">
        <f>VLOOKUP(B165,'[1]Feature Summary'!$A$7:$U$4028,21,FALSE)</f>
        <v>#N/A</v>
      </c>
      <c r="AH165" s="324"/>
    </row>
    <row r="166" spans="1:34" x14ac:dyDescent="0.25">
      <c r="A166" s="330" t="s">
        <v>923</v>
      </c>
      <c r="B166" s="566" t="s">
        <v>924</v>
      </c>
      <c r="C166" s="566" t="s">
        <v>310</v>
      </c>
      <c r="D166" s="570" t="s">
        <v>924</v>
      </c>
      <c r="E166" s="566" t="s">
        <v>925</v>
      </c>
      <c r="F166" s="566" t="s">
        <v>926</v>
      </c>
      <c r="G166" s="575" t="s">
        <v>280</v>
      </c>
      <c r="H166" s="564" t="s">
        <v>927</v>
      </c>
      <c r="I166" s="437" t="s">
        <v>315</v>
      </c>
      <c r="J166" s="564" t="s">
        <v>928</v>
      </c>
      <c r="K166" s="577">
        <v>1</v>
      </c>
      <c r="L166" s="570">
        <v>30</v>
      </c>
      <c r="M166" s="581" t="s">
        <v>39</v>
      </c>
      <c r="N166" s="584">
        <v>1</v>
      </c>
      <c r="O166" s="570">
        <v>30</v>
      </c>
      <c r="P166" s="585">
        <v>1</v>
      </c>
      <c r="Q166" s="587" t="s">
        <v>48</v>
      </c>
      <c r="R166" s="570">
        <v>30</v>
      </c>
      <c r="S166" s="570">
        <v>30</v>
      </c>
      <c r="T166" s="570">
        <v>30</v>
      </c>
      <c r="U166" s="472"/>
      <c r="V166" s="472"/>
      <c r="W166" s="472"/>
      <c r="X166" s="483">
        <f t="shared" si="5"/>
        <v>1</v>
      </c>
      <c r="Y166" s="440"/>
      <c r="Z166" s="471"/>
      <c r="AA166" s="472"/>
      <c r="AB166" s="472"/>
      <c r="AC166" s="472"/>
      <c r="AD166" s="472"/>
      <c r="AE166" s="473">
        <f t="shared" si="6"/>
        <v>0</v>
      </c>
      <c r="AF166" s="323"/>
      <c r="AG166" s="589" t="e">
        <f>VLOOKUP(B166,'[1]Feature Summary'!$A$7:$U$4028,21,FALSE)</f>
        <v>#N/A</v>
      </c>
      <c r="AH166" s="324"/>
    </row>
    <row r="167" spans="1:34" hidden="1" x14ac:dyDescent="0.25">
      <c r="A167" s="330" t="s">
        <v>929</v>
      </c>
      <c r="B167" s="566" t="s">
        <v>930</v>
      </c>
      <c r="C167" s="566" t="s">
        <v>310</v>
      </c>
      <c r="D167" s="566" t="s">
        <v>930</v>
      </c>
      <c r="E167" s="566" t="s">
        <v>312</v>
      </c>
      <c r="F167" s="566" t="s">
        <v>930</v>
      </c>
      <c r="G167" s="575" t="s">
        <v>280</v>
      </c>
      <c r="H167" s="564" t="s">
        <v>312</v>
      </c>
      <c r="I167" s="437" t="s">
        <v>315</v>
      </c>
      <c r="J167" s="564" t="s">
        <v>47</v>
      </c>
      <c r="K167" s="577">
        <v>1</v>
      </c>
      <c r="L167" s="570">
        <v>1</v>
      </c>
      <c r="M167" s="581" t="s">
        <v>44</v>
      </c>
      <c r="N167" s="584">
        <v>1</v>
      </c>
      <c r="O167" s="570">
        <v>1</v>
      </c>
      <c r="P167" s="585">
        <v>1</v>
      </c>
      <c r="Q167" s="587" t="s">
        <v>48</v>
      </c>
      <c r="R167" s="570">
        <v>1</v>
      </c>
      <c r="S167" s="570">
        <v>1</v>
      </c>
      <c r="T167" s="570">
        <v>1</v>
      </c>
      <c r="U167" s="472"/>
      <c r="V167" s="472"/>
      <c r="W167" s="472"/>
      <c r="X167" s="483">
        <f t="shared" ref="X167:X169" si="7">IF((S167=0),0,((T167+U167)/S167*100%))</f>
        <v>1</v>
      </c>
      <c r="Y167" s="440"/>
      <c r="Z167" s="471"/>
      <c r="AA167" s="472"/>
      <c r="AB167" s="472"/>
      <c r="AC167" s="472"/>
      <c r="AD167" s="472"/>
      <c r="AE167" s="473">
        <f t="shared" ref="AE167:AE169" si="8">IF((Z167=0),0,((AA167+AB167)/Z167*100%))</f>
        <v>0</v>
      </c>
      <c r="AF167" s="323"/>
      <c r="AG167" s="589" t="e">
        <f>VLOOKUP(B167,'[1]Feature Summary'!$A$7:$U$4028,21,FALSE)</f>
        <v>#N/A</v>
      </c>
      <c r="AH167" s="324"/>
    </row>
    <row r="168" spans="1:34" hidden="1" x14ac:dyDescent="0.25">
      <c r="A168" s="330" t="s">
        <v>931</v>
      </c>
      <c r="B168" s="566" t="s">
        <v>932</v>
      </c>
      <c r="C168" s="566" t="s">
        <v>310</v>
      </c>
      <c r="D168" s="566" t="s">
        <v>933</v>
      </c>
      <c r="E168" s="566" t="s">
        <v>934</v>
      </c>
      <c r="F168" s="566" t="s">
        <v>933</v>
      </c>
      <c r="G168" s="575" t="s">
        <v>280</v>
      </c>
      <c r="H168" s="564" t="s">
        <v>935</v>
      </c>
      <c r="I168" s="437" t="s">
        <v>35</v>
      </c>
      <c r="J168" s="564" t="s">
        <v>47</v>
      </c>
      <c r="K168" s="577">
        <v>1</v>
      </c>
      <c r="L168" s="570">
        <v>1</v>
      </c>
      <c r="M168" s="581" t="s">
        <v>44</v>
      </c>
      <c r="N168" s="584">
        <v>1</v>
      </c>
      <c r="O168" s="570">
        <v>1</v>
      </c>
      <c r="P168" s="585">
        <v>1</v>
      </c>
      <c r="Q168" s="587" t="s">
        <v>38</v>
      </c>
      <c r="R168" s="570">
        <v>1</v>
      </c>
      <c r="S168" s="570">
        <v>1</v>
      </c>
      <c r="T168" s="570">
        <v>1</v>
      </c>
      <c r="U168" s="472"/>
      <c r="V168" s="472"/>
      <c r="W168" s="472"/>
      <c r="X168" s="483">
        <f t="shared" si="7"/>
        <v>1</v>
      </c>
      <c r="Y168" s="440"/>
      <c r="Z168" s="471"/>
      <c r="AA168" s="472"/>
      <c r="AB168" s="472"/>
      <c r="AC168" s="472"/>
      <c r="AD168" s="472"/>
      <c r="AE168" s="473">
        <f t="shared" si="8"/>
        <v>0</v>
      </c>
      <c r="AF168" s="323"/>
      <c r="AG168" s="589" t="e">
        <f>VLOOKUP(B168,'[1]Feature Summary'!$A$7:$U$4028,21,FALSE)</f>
        <v>#N/A</v>
      </c>
      <c r="AH168" s="324"/>
    </row>
    <row r="169" spans="1:34" hidden="1" x14ac:dyDescent="0.25">
      <c r="A169" s="330" t="s">
        <v>936</v>
      </c>
      <c r="B169" s="566" t="s">
        <v>937</v>
      </c>
      <c r="C169" s="566" t="s">
        <v>310</v>
      </c>
      <c r="D169" s="566" t="s">
        <v>937</v>
      </c>
      <c r="E169" s="566" t="s">
        <v>378</v>
      </c>
      <c r="F169" s="566" t="s">
        <v>938</v>
      </c>
      <c r="G169" s="575" t="s">
        <v>280</v>
      </c>
      <c r="H169" s="564" t="s">
        <v>380</v>
      </c>
      <c r="I169" s="437" t="s">
        <v>315</v>
      </c>
      <c r="J169" s="564" t="s">
        <v>47</v>
      </c>
      <c r="K169" s="577">
        <v>1</v>
      </c>
      <c r="L169" s="570">
        <v>1</v>
      </c>
      <c r="M169" s="581" t="s">
        <v>44</v>
      </c>
      <c r="N169" s="584">
        <v>1</v>
      </c>
      <c r="O169" s="570">
        <v>1</v>
      </c>
      <c r="P169" s="585">
        <v>1</v>
      </c>
      <c r="Q169" s="587" t="s">
        <v>38</v>
      </c>
      <c r="R169" s="570">
        <v>1</v>
      </c>
      <c r="S169" s="570">
        <v>1</v>
      </c>
      <c r="T169" s="570">
        <v>1</v>
      </c>
      <c r="U169" s="472"/>
      <c r="V169" s="472"/>
      <c r="W169" s="472"/>
      <c r="X169" s="483">
        <f t="shared" si="7"/>
        <v>1</v>
      </c>
      <c r="Y169" s="440"/>
      <c r="Z169" s="471"/>
      <c r="AA169" s="472"/>
      <c r="AB169" s="472"/>
      <c r="AC169" s="472"/>
      <c r="AD169" s="472"/>
      <c r="AE169" s="473">
        <f t="shared" si="8"/>
        <v>0</v>
      </c>
      <c r="AF169" s="323"/>
      <c r="AG169" s="589" t="e">
        <f>VLOOKUP(B169,'[1]Feature Summary'!$A$7:$U$4028,21,FALSE)</f>
        <v>#N/A</v>
      </c>
      <c r="AH169" s="324"/>
    </row>
    <row r="170" spans="1:34" hidden="1" x14ac:dyDescent="0.25">
      <c r="A170" s="330" t="s">
        <v>939</v>
      </c>
      <c r="B170" s="566" t="s">
        <v>940</v>
      </c>
      <c r="C170" s="566" t="s">
        <v>310</v>
      </c>
      <c r="D170" s="566" t="s">
        <v>940</v>
      </c>
      <c r="E170" s="566" t="s">
        <v>312</v>
      </c>
      <c r="F170" s="566" t="s">
        <v>940</v>
      </c>
      <c r="G170" s="575" t="s">
        <v>280</v>
      </c>
      <c r="H170" s="564" t="s">
        <v>312</v>
      </c>
      <c r="I170" s="437" t="s">
        <v>315</v>
      </c>
      <c r="J170" s="564" t="s">
        <v>47</v>
      </c>
      <c r="K170" s="577">
        <v>1</v>
      </c>
      <c r="L170" s="570">
        <v>1</v>
      </c>
      <c r="M170" s="581" t="s">
        <v>44</v>
      </c>
      <c r="N170" s="584">
        <v>1</v>
      </c>
      <c r="O170" s="570">
        <v>1</v>
      </c>
      <c r="P170" s="585">
        <v>1</v>
      </c>
      <c r="Q170" s="587" t="s">
        <v>38</v>
      </c>
      <c r="R170" s="570">
        <v>1</v>
      </c>
      <c r="S170" s="570">
        <v>1</v>
      </c>
      <c r="T170" s="570">
        <v>1</v>
      </c>
      <c r="U170" s="472"/>
      <c r="V170" s="472"/>
      <c r="W170" s="472"/>
      <c r="X170" s="483">
        <f t="shared" si="5"/>
        <v>1</v>
      </c>
      <c r="Y170" s="440"/>
      <c r="Z170" s="471"/>
      <c r="AA170" s="472"/>
      <c r="AB170" s="472"/>
      <c r="AC170" s="472"/>
      <c r="AD170" s="472"/>
      <c r="AE170" s="473">
        <f t="shared" si="6"/>
        <v>0</v>
      </c>
      <c r="AF170" s="323"/>
      <c r="AG170" s="589" t="e">
        <f>VLOOKUP(B170,'[1]Feature Summary'!$A$7:$U$4028,21,FALSE)</f>
        <v>#N/A</v>
      </c>
      <c r="AH170" s="324"/>
    </row>
    <row r="171" spans="1:34" x14ac:dyDescent="0.25">
      <c r="A171" s="368"/>
      <c r="B171" s="369"/>
      <c r="C171" s="369"/>
      <c r="D171" s="370"/>
      <c r="E171" s="369"/>
      <c r="F171" s="369"/>
      <c r="G171" s="370"/>
      <c r="H171" s="413"/>
      <c r="I171" s="562"/>
      <c r="J171" s="369"/>
      <c r="K171" s="369"/>
      <c r="L171" s="371"/>
      <c r="M171" s="372"/>
      <c r="N171" s="455"/>
      <c r="O171" s="456"/>
      <c r="P171" s="454"/>
      <c r="Q171" s="378"/>
      <c r="R171" s="379"/>
      <c r="S171" s="484"/>
      <c r="T171" s="485"/>
      <c r="U171" s="485"/>
      <c r="V171" s="485"/>
      <c r="W171" s="485"/>
      <c r="X171" s="486"/>
      <c r="Y171" s="380"/>
      <c r="Z171" s="474"/>
      <c r="AA171" s="475"/>
      <c r="AB171" s="475"/>
      <c r="AC171" s="475"/>
      <c r="AD171" s="475"/>
      <c r="AE171" s="476"/>
      <c r="AF171" s="384"/>
      <c r="AG171" s="384"/>
      <c r="AH171" s="388"/>
    </row>
    <row r="172" spans="1:34" x14ac:dyDescent="0.25">
      <c r="A172" s="368"/>
      <c r="B172" s="369"/>
      <c r="C172" s="369"/>
      <c r="D172" s="370"/>
      <c r="E172" s="369"/>
      <c r="F172" s="369"/>
      <c r="G172" s="370"/>
      <c r="H172" s="413"/>
      <c r="I172" s="562"/>
      <c r="J172" s="369"/>
      <c r="K172" s="369"/>
      <c r="L172" s="371"/>
      <c r="M172" s="372"/>
      <c r="N172" s="455"/>
      <c r="O172" s="456"/>
      <c r="P172" s="454"/>
      <c r="Q172" s="378"/>
      <c r="R172" s="379"/>
      <c r="S172" s="484"/>
      <c r="T172" s="485"/>
      <c r="U172" s="485"/>
      <c r="V172" s="485"/>
      <c r="W172" s="485"/>
      <c r="X172" s="486"/>
      <c r="Y172" s="380"/>
      <c r="Z172" s="474"/>
      <c r="AA172" s="475"/>
      <c r="AB172" s="475"/>
      <c r="AC172" s="475"/>
      <c r="AD172" s="475"/>
      <c r="AE172" s="476"/>
      <c r="AF172" s="384"/>
      <c r="AG172" s="384"/>
      <c r="AH172" s="388"/>
    </row>
    <row r="173" spans="1:34" ht="15.75" thickBot="1" x14ac:dyDescent="0.3">
      <c r="A173" s="373"/>
      <c r="B173" s="374"/>
      <c r="C173" s="374"/>
      <c r="D173" s="375"/>
      <c r="E173" s="374"/>
      <c r="F173" s="374"/>
      <c r="G173" s="375"/>
      <c r="H173" s="414"/>
      <c r="I173" s="562"/>
      <c r="J173" s="374"/>
      <c r="K173" s="374"/>
      <c r="L173" s="376"/>
      <c r="M173" s="377"/>
      <c r="N173" s="457"/>
      <c r="O173" s="458"/>
      <c r="P173" s="459"/>
      <c r="Q173" s="381"/>
      <c r="R173" s="382"/>
      <c r="S173" s="487"/>
      <c r="T173" s="488"/>
      <c r="U173" s="488"/>
      <c r="V173" s="488"/>
      <c r="W173" s="488"/>
      <c r="X173" s="489"/>
      <c r="Y173" s="383"/>
      <c r="Z173" s="477"/>
      <c r="AA173" s="478"/>
      <c r="AB173" s="478"/>
      <c r="AC173" s="478"/>
      <c r="AD173" s="478"/>
      <c r="AE173" s="479"/>
      <c r="AF173" s="385"/>
      <c r="AG173" s="385"/>
      <c r="AH173" s="389"/>
    </row>
    <row r="174" spans="1:34" x14ac:dyDescent="0.25">
      <c r="A174" s="648" t="s">
        <v>941</v>
      </c>
      <c r="B174" s="649"/>
      <c r="C174" s="649"/>
      <c r="D174" s="649"/>
      <c r="E174" s="649"/>
      <c r="F174" s="649"/>
      <c r="G174" s="649"/>
      <c r="H174" s="649"/>
      <c r="I174" s="649"/>
      <c r="J174" s="649"/>
      <c r="K174" s="649"/>
      <c r="L174" s="649"/>
      <c r="M174" s="649"/>
      <c r="N174" s="649"/>
      <c r="O174" s="649"/>
      <c r="P174" s="649"/>
      <c r="Q174" s="649"/>
      <c r="R174" s="649"/>
      <c r="S174" s="649"/>
      <c r="T174" s="649"/>
      <c r="U174" s="649"/>
      <c r="V174" s="649"/>
      <c r="W174" s="649"/>
      <c r="X174" s="649"/>
      <c r="Y174" s="649"/>
      <c r="Z174" s="649"/>
      <c r="AA174" s="649"/>
      <c r="AB174" s="649"/>
      <c r="AC174" s="649"/>
      <c r="AD174" s="649"/>
      <c r="AE174" s="649"/>
      <c r="AF174" s="649"/>
      <c r="AG174" s="649"/>
      <c r="AH174" s="650"/>
    </row>
    <row r="175" spans="1:34" ht="15.75" thickBot="1" x14ac:dyDescent="0.3">
      <c r="A175" s="651"/>
      <c r="B175" s="652"/>
      <c r="C175" s="652"/>
      <c r="D175" s="652"/>
      <c r="E175" s="652"/>
      <c r="F175" s="652"/>
      <c r="G175" s="652"/>
      <c r="H175" s="652"/>
      <c r="I175" s="652"/>
      <c r="J175" s="652"/>
      <c r="K175" s="652"/>
      <c r="L175" s="652"/>
      <c r="M175" s="652"/>
      <c r="N175" s="652"/>
      <c r="O175" s="652"/>
      <c r="P175" s="652"/>
      <c r="Q175" s="652"/>
      <c r="R175" s="652"/>
      <c r="S175" s="652"/>
      <c r="T175" s="652"/>
      <c r="U175" s="652"/>
      <c r="V175" s="652"/>
      <c r="W175" s="652"/>
      <c r="X175" s="652"/>
      <c r="Y175" s="652"/>
      <c r="Z175" s="652"/>
      <c r="AA175" s="652"/>
      <c r="AB175" s="652"/>
      <c r="AC175" s="652"/>
      <c r="AD175" s="652"/>
      <c r="AE175" s="652"/>
      <c r="AF175" s="652"/>
      <c r="AG175" s="652"/>
      <c r="AH175" s="653"/>
    </row>
    <row r="176" spans="1:34" ht="19.5" thickBot="1" x14ac:dyDescent="0.3">
      <c r="A176" s="657" t="s">
        <v>302</v>
      </c>
      <c r="B176" s="658"/>
      <c r="C176" s="658"/>
      <c r="D176" s="658"/>
      <c r="E176" s="658"/>
      <c r="F176" s="658"/>
      <c r="G176" s="658"/>
      <c r="H176" s="658"/>
      <c r="I176" s="658"/>
      <c r="J176" s="659"/>
      <c r="K176" s="401">
        <f>SUM(K6:K173)</f>
        <v>166</v>
      </c>
      <c r="L176" s="401">
        <f>SUM(L6:L173)</f>
        <v>1239</v>
      </c>
      <c r="M176" s="402"/>
      <c r="N176" s="460">
        <f>SUMPRODUCT(K6:K173,N6:N173)/K176</f>
        <v>1</v>
      </c>
      <c r="O176" s="461">
        <f>SUM(O6:O173)</f>
        <v>1239</v>
      </c>
      <c r="P176" s="462">
        <f>SUMPRODUCT(K6:K173,P6:P173)/K176</f>
        <v>1</v>
      </c>
      <c r="Q176" s="403"/>
      <c r="R176" s="404">
        <f t="shared" ref="R176:W176" si="9">SUM(R6:R173)</f>
        <v>1239</v>
      </c>
      <c r="S176" s="463">
        <f t="shared" si="9"/>
        <v>1239</v>
      </c>
      <c r="T176" s="463">
        <f t="shared" si="9"/>
        <v>1239</v>
      </c>
      <c r="U176" s="404">
        <f t="shared" si="9"/>
        <v>0</v>
      </c>
      <c r="V176" s="404">
        <f t="shared" si="9"/>
        <v>0</v>
      </c>
      <c r="W176" s="404">
        <f t="shared" si="9"/>
        <v>0</v>
      </c>
      <c r="X176" s="464">
        <f>IF((S176=0),0,((T176+U176)/S176*100%))</f>
        <v>1</v>
      </c>
      <c r="Y176" s="405"/>
      <c r="Z176" s="465">
        <f>SUM(Z6:Z173)</f>
        <v>0</v>
      </c>
      <c r="AA176" s="466">
        <f>SUM(AA6:AA173)</f>
        <v>0</v>
      </c>
      <c r="AB176" s="466">
        <f>SUM(AB6:AB173)</f>
        <v>0</v>
      </c>
      <c r="AC176" s="466">
        <f>SUM(AC6:AC173)</f>
        <v>0</v>
      </c>
      <c r="AD176" s="466">
        <f>SUM(AD6:AD173)</f>
        <v>0</v>
      </c>
      <c r="AE176" s="467">
        <f>IF((Z176=0),0,((AA176+AB176)/Z176*100%))</f>
        <v>0</v>
      </c>
      <c r="AF176" s="406"/>
      <c r="AG176" s="406"/>
      <c r="AH176" s="407"/>
    </row>
    <row r="178" spans="12:12" x14ac:dyDescent="0.25">
      <c r="L178" s="170" t="s">
        <v>942</v>
      </c>
    </row>
  </sheetData>
  <sheetProtection insertColumns="0" insertRows="0" deleteRows="0" sort="0"/>
  <autoFilter ref="A5:AH176" xr:uid="{00000000-0009-0000-0000-000002000000}">
    <filterColumn colId="11">
      <filters blank="1">
        <filter val="10"/>
        <filter val="108"/>
        <filter val="12"/>
        <filter val="1239"/>
        <filter val="14"/>
        <filter val="15"/>
        <filter val="2"/>
        <filter val="20"/>
        <filter val="28"/>
        <filter val="3"/>
        <filter val="30"/>
        <filter val="4"/>
        <filter val="448"/>
        <filter val="5"/>
        <filter val="6"/>
        <filter val="60"/>
        <filter val="7"/>
        <filter val="8"/>
        <filter val="96"/>
      </filters>
    </filterColumn>
  </autoFilter>
  <mergeCells count="9">
    <mergeCell ref="A174:AH175"/>
    <mergeCell ref="A1:AH1"/>
    <mergeCell ref="A3:AH3"/>
    <mergeCell ref="A2:J2"/>
    <mergeCell ref="A176:J176"/>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Q171:Q173</xm:sqref>
        </x14:dataValidation>
        <x14:dataValidation type="list" allowBlank="1" showInputMessage="1" showErrorMessage="1" xr:uid="{5513F172-4253-4807-A8CE-34D720193895}">
          <x14:formula1>
            <xm:f>'List Options'!$G$1:$G$3</xm:f>
          </x14:formula1>
          <xm:sqref>M171:M173</xm:sqref>
        </x14:dataValidation>
        <x14:dataValidation type="list" allowBlank="1" showInputMessage="1" showErrorMessage="1" xr:uid="{8B92A7F6-7ABF-446A-A0A1-23D59ABEAA7C}">
          <x14:formula1>
            <xm:f>'List Options'!$K$1:$K$6</xm:f>
          </x14:formula1>
          <xm:sqref>I6:I173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9"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73" t="s">
        <v>943</v>
      </c>
      <c r="B1" s="674"/>
      <c r="C1" s="674"/>
      <c r="D1" s="674"/>
      <c r="E1" s="674"/>
      <c r="F1" s="674"/>
      <c r="G1" s="674"/>
      <c r="H1" s="674"/>
      <c r="I1" s="674"/>
      <c r="J1" s="674"/>
      <c r="K1" s="674"/>
      <c r="L1" s="674"/>
      <c r="M1" s="674"/>
      <c r="N1" s="674"/>
      <c r="O1" s="674"/>
      <c r="P1" s="674"/>
      <c r="Q1" s="674"/>
      <c r="R1" s="674"/>
      <c r="S1" s="674"/>
      <c r="T1" s="674"/>
      <c r="U1" s="674"/>
      <c r="V1" s="675"/>
    </row>
    <row r="2" spans="1:22" ht="15.75" thickBot="1" x14ac:dyDescent="0.3">
      <c r="A2" s="218" t="s">
        <v>944</v>
      </c>
      <c r="B2" s="676" t="s">
        <v>166</v>
      </c>
      <c r="C2" s="676"/>
      <c r="D2" s="676"/>
      <c r="E2" s="676"/>
      <c r="F2" s="676"/>
      <c r="G2" s="677" t="s">
        <v>177</v>
      </c>
      <c r="H2" s="678"/>
      <c r="I2" s="678"/>
      <c r="J2" s="678"/>
      <c r="K2" s="678"/>
      <c r="L2" s="678"/>
      <c r="M2" s="678"/>
      <c r="N2" s="679"/>
      <c r="O2" s="680" t="s">
        <v>144</v>
      </c>
      <c r="P2" s="681"/>
      <c r="Q2" s="681"/>
      <c r="R2" s="681"/>
      <c r="S2" s="681"/>
      <c r="T2" s="681"/>
      <c r="U2" s="681"/>
      <c r="V2" s="682"/>
    </row>
    <row r="3" spans="1:22" s="251" customFormat="1" ht="15.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3" t="s">
        <v>945</v>
      </c>
      <c r="B4" s="252">
        <f>SUMIFS('Diags Raw Data'!$L$6:$L$4790,'Diags Raw Data'!$D$6:$D$4790,$A4)</f>
        <v>0</v>
      </c>
      <c r="C4" s="242">
        <f>SUMIFS('Diags Raw Data'!$R$6:$R$4790,'Diags Raw Data'!$D$6:$D$4790,$A4)</f>
        <v>0</v>
      </c>
      <c r="D4" s="242">
        <f>SUMIFS('Diags Raw Data'!$K$6:$K$4790,'Diags Raw Data'!$D$6:$D$4790,$A4)</f>
        <v>0</v>
      </c>
      <c r="E4" s="242">
        <f>SUMIFS('Diags Raw Data'!$O$6:$O$4790,'Diags Raw Data'!$D$6:$D$4790,$A4)</f>
        <v>0</v>
      </c>
      <c r="F4" s="248" t="str">
        <f>IF(NOT($B4=0), E4/$B4, "---")</f>
        <v>---</v>
      </c>
      <c r="G4" s="220">
        <f>SUMIFS('Diags Raw Data'!$S$6:$S$4790,'Diags Raw Data'!$D$6:$D$4790,$A4)</f>
        <v>0</v>
      </c>
      <c r="H4" s="221">
        <f>SUMIFS('Diags Raw Data'!$T$6:$T$4790,'Diags Raw Data'!$D$6:$D$4790,$A4)</f>
        <v>0</v>
      </c>
      <c r="I4" s="223">
        <f>SUMIFS('Diags Raw Data'!$U$6:$U$4790,'Diags Raw Data'!$D$6:$D$4790,$A4)</f>
        <v>0</v>
      </c>
      <c r="J4" s="221">
        <f>SUMIFS('Diags Raw Data'!$V$6:$V$4790,'Diags Raw Data'!$D$6:$D$4790,$A4)</f>
        <v>0</v>
      </c>
      <c r="K4" s="223">
        <f>SUMIFS('Diags Raw Data'!$W$6:$W$4790,'Diags Raw Data'!$D$6:$D$4790,$A4)</f>
        <v>0</v>
      </c>
      <c r="L4" s="222" t="str">
        <f>IF(NOT($C4=0), G4/$C4, "---")</f>
        <v>---</v>
      </c>
      <c r="M4" s="224" t="str">
        <f>IF(NOT($G4=0), (H4+I4)/$G4, "---")</f>
        <v>---</v>
      </c>
      <c r="N4" s="226" t="str">
        <f>IF(NOT($C4=0), (H4+I4)/$C4, "---")</f>
        <v>---</v>
      </c>
      <c r="O4" s="213">
        <f>SUMIFS('Diags Raw Data'!$Z$6:$Z$4790,'Diags Raw Data'!$D$6:$D$4790,$A4)</f>
        <v>0</v>
      </c>
      <c r="P4" s="210">
        <f>SUMIFS('Diags Raw Data'!$AA$6:$AA$4790,'Diags Raw Data'!$D$6:$D$4790,$A4)</f>
        <v>0</v>
      </c>
      <c r="Q4" s="212">
        <f>SUMIFS('Diags Raw Data'!$AB$6:$AB$4790,'Diags Raw Data'!$D$6:$D$4790,$A4)</f>
        <v>0</v>
      </c>
      <c r="R4" s="210">
        <f>SUMIFS('Diags Raw Data'!$AC$6:$AC$4790,'Diags Raw Data'!$D$6:$D$4790,$A4)</f>
        <v>0</v>
      </c>
      <c r="S4" s="212">
        <f>SUMIFS('Diags Raw Data'!$AD$6:$AD$4790,'Diags Raw Data'!$D$6:$D$4790,$A4)</f>
        <v>0</v>
      </c>
      <c r="T4" s="211" t="str">
        <f>IF(NOT($B4=0), O4/$B4, "---")</f>
        <v>---</v>
      </c>
      <c r="U4" s="225" t="str">
        <f>IF(NOT($O4=0), (P4+Q4)/$O4, "---")</f>
        <v>---</v>
      </c>
      <c r="V4" s="241" t="str">
        <f>IF(NOT($B4=0), (P4+Q4)/$B4, "---")</f>
        <v>---</v>
      </c>
    </row>
    <row r="5" spans="1:22" x14ac:dyDescent="0.25">
      <c r="A5" s="333" t="s">
        <v>946</v>
      </c>
      <c r="B5" s="253">
        <f>SUMIFS('Diags Raw Data'!$L$6:$L$4790,'Diags Raw Data'!$D$6:$D$4790,$A5)</f>
        <v>0</v>
      </c>
      <c r="C5" s="243">
        <f>SUMIFS('Diags Raw Data'!$R$6:$R$4790,'Diags Raw Data'!$D$6:$D$4790,$A5)</f>
        <v>0</v>
      </c>
      <c r="D5" s="243">
        <f>SUMIFS('Diags Raw Data'!$K$6:$K$4790,'Diags Raw Data'!$D$6:$D$4790,$A5)</f>
        <v>0</v>
      </c>
      <c r="E5" s="243">
        <f>SUMIFS('Diags Raw Data'!$O$6:$O$4790,'Diags Raw Data'!$D$6:$D$4790,$A5)</f>
        <v>0</v>
      </c>
      <c r="F5" s="249" t="str">
        <f t="shared" ref="F5:F12" si="0">IF(NOT($B5=0), E5/$B5, "---")</f>
        <v>---</v>
      </c>
      <c r="G5" s="231">
        <f>SUMIFS('Diags Raw Data'!$S$6:$S$4790,'Diags Raw Data'!$D$6:$D$4790,$A5)</f>
        <v>0</v>
      </c>
      <c r="H5" s="227">
        <f>SUMIFS('Diags Raw Data'!$T$6:$T$4790,'Diags Raw Data'!$D$6:$D$4790,$A5)</f>
        <v>0</v>
      </c>
      <c r="I5" s="228">
        <f>SUMIFS('Diags Raw Data'!$U$6:$U$4790,'Diags Raw Data'!$D$6:$D$4790,$A5)</f>
        <v>0</v>
      </c>
      <c r="J5" s="227">
        <f>SUMIFS('Diags Raw Data'!$V$6:$V$4790,'Diags Raw Data'!$D$6:$D$4790,$A5)</f>
        <v>0</v>
      </c>
      <c r="K5" s="228">
        <f>SUMIFS('Diags Raw Data'!$W$6:$W$4790,'Diags Raw Data'!$D$6:$D$4790,$A5)</f>
        <v>0</v>
      </c>
      <c r="L5" s="244" t="str">
        <f t="shared" ref="L5:L13" si="1">IF(NOT($C5=0), G5/$C5, "---")</f>
        <v>---</v>
      </c>
      <c r="M5" s="229" t="str">
        <f t="shared" ref="M5:M13" si="2">IF(NOT($G5=0), (H5+I5)/$G5, "---")</f>
        <v>---</v>
      </c>
      <c r="N5" s="238" t="str">
        <f t="shared" ref="N5:N12" si="3">IF(NOT($C5=0), (H5+I5)/$C5, "---")</f>
        <v>---</v>
      </c>
      <c r="O5" s="214">
        <f>SUMIFS('Diags Raw Data'!$Z$6:$Z$4790,'Diags Raw Data'!$D$6:$D$4790,$A5)</f>
        <v>0</v>
      </c>
      <c r="P5" s="204">
        <f>SUMIFS('Diags Raw Data'!$AA$6:$AA$4790,'Diags Raw Data'!$D$6:$D$4790,$A5)</f>
        <v>0</v>
      </c>
      <c r="Q5" s="206">
        <f>SUMIFS('Diags Raw Data'!$AB$6:$AB$4790,'Diags Raw Data'!$D$6:$D$4790,$A5)</f>
        <v>0</v>
      </c>
      <c r="R5" s="204">
        <f>SUMIFS('Diags Raw Data'!$AC$6:$AC$4790,'Diags Raw Data'!$D$6:$D$4790,$A5)</f>
        <v>0</v>
      </c>
      <c r="S5" s="206">
        <f>SUMIFS('Diags Raw Data'!$AD$6:$AD$4790,'Diags Raw Data'!$D$6:$D$4790,$A5)</f>
        <v>0</v>
      </c>
      <c r="T5" s="205" t="str">
        <f t="shared" ref="T5:T13" si="4">IF(NOT($B5=0), O5/$B5, "---")</f>
        <v>---</v>
      </c>
      <c r="U5" s="230" t="str">
        <f t="shared" ref="U5:U8" si="5">IF(NOT($O5=0), (P5+Q5)/$O5, "---")</f>
        <v>---</v>
      </c>
      <c r="V5" s="232" t="str">
        <f t="shared" ref="V5:V13" si="6">IF(NOT($B5=0), (P5+Q5)/$B5, "---")</f>
        <v>---</v>
      </c>
    </row>
    <row r="6" spans="1:22" x14ac:dyDescent="0.25">
      <c r="A6" s="333" t="s">
        <v>947</v>
      </c>
      <c r="B6" s="253">
        <f>SUMIFS('Diags Raw Data'!$L$6:$L$4790,'Diags Raw Data'!$D$6:$D$4790,$A6)</f>
        <v>0</v>
      </c>
      <c r="C6" s="243">
        <f>SUMIFS('Diags Raw Data'!$R$6:$R$4790,'Diags Raw Data'!$D$6:$D$4790,$A6)</f>
        <v>0</v>
      </c>
      <c r="D6" s="243">
        <f>SUMIFS('Diags Raw Data'!$K$6:$K$4790,'Diags Raw Data'!$D$6:$D$4790,$A6)</f>
        <v>0</v>
      </c>
      <c r="E6" s="243">
        <f>SUMIFS('Diags Raw Data'!$O$6:$O$4790,'Diags Raw Data'!$D$6:$D$4790,$A6)</f>
        <v>0</v>
      </c>
      <c r="F6" s="249" t="str">
        <f t="shared" si="0"/>
        <v>---</v>
      </c>
      <c r="G6" s="231">
        <f>SUMIFS('Diags Raw Data'!$S$6:$S$4790,'Diags Raw Data'!$D$6:$D$4790,$A6)</f>
        <v>0</v>
      </c>
      <c r="H6" s="227">
        <f>SUMIFS('Diags Raw Data'!$T$6:$T$4790,'Diags Raw Data'!$D$6:$D$4790,$A6)</f>
        <v>0</v>
      </c>
      <c r="I6" s="228">
        <f>SUMIFS('Diags Raw Data'!$U$6:$U$4790,'Diags Raw Data'!$D$6:$D$4790,$A6)</f>
        <v>0</v>
      </c>
      <c r="J6" s="227">
        <f>SUMIFS('Diags Raw Data'!$V$6:$V$4790,'Diags Raw Data'!$D$6:$D$4790,$A6)</f>
        <v>0</v>
      </c>
      <c r="K6" s="228">
        <f>SUMIFS('Diags Raw Data'!$W$6:$W$4790,'Diags Raw Data'!$D$6:$D$4790,$A6)</f>
        <v>0</v>
      </c>
      <c r="L6" s="244" t="str">
        <f t="shared" si="1"/>
        <v>---</v>
      </c>
      <c r="M6" s="229" t="str">
        <f t="shared" si="2"/>
        <v>---</v>
      </c>
      <c r="N6" s="238" t="str">
        <f t="shared" si="3"/>
        <v>---</v>
      </c>
      <c r="O6" s="214">
        <f>SUMIFS('Diags Raw Data'!$Z$6:$Z$4790,'Diags Raw Data'!$D$6:$D$4790,$A6)</f>
        <v>0</v>
      </c>
      <c r="P6" s="204">
        <f>SUMIFS('Diags Raw Data'!$AA$6:$AA$4790,'Diags Raw Data'!$D$6:$D$4790,$A6)</f>
        <v>0</v>
      </c>
      <c r="Q6" s="206">
        <f>SUMIFS('Diags Raw Data'!$AB$6:$AB$4790,'Diags Raw Data'!$D$6:$D$4790,$A6)</f>
        <v>0</v>
      </c>
      <c r="R6" s="204">
        <f>SUMIFS('Diags Raw Data'!$AC$6:$AC$4790,'Diags Raw Data'!$D$6:$D$4790,$A6)</f>
        <v>0</v>
      </c>
      <c r="S6" s="206">
        <f>SUMIFS('Diags Raw Data'!$AD$6:$AD$4790,'Diags Raw Data'!$D$6:$D$4790,$A6)</f>
        <v>0</v>
      </c>
      <c r="T6" s="205" t="str">
        <f t="shared" si="4"/>
        <v>---</v>
      </c>
      <c r="U6" s="230" t="str">
        <f t="shared" si="5"/>
        <v>---</v>
      </c>
      <c r="V6" s="232" t="str">
        <f t="shared" si="6"/>
        <v>---</v>
      </c>
    </row>
    <row r="7" spans="1:22" x14ac:dyDescent="0.25">
      <c r="A7" s="333" t="s">
        <v>948</v>
      </c>
      <c r="B7" s="253">
        <f>SUMIFS('Diags Raw Data'!$L$6:$L$4790,'Diags Raw Data'!$D$6:$D$4790,$A7)</f>
        <v>0</v>
      </c>
      <c r="C7" s="243">
        <f>SUMIFS('Diags Raw Data'!$R$6:$R$4790,'Diags Raw Data'!$D$6:$D$4790,$A7)</f>
        <v>0</v>
      </c>
      <c r="D7" s="243">
        <f>SUMIFS('Diags Raw Data'!$K$6:$K$4790,'Diags Raw Data'!$D$6:$D$4790,$A7)</f>
        <v>0</v>
      </c>
      <c r="E7" s="243">
        <f>SUMIFS('Diags Raw Data'!$O$6:$O$4790,'Diags Raw Data'!$D$6:$D$4790,$A7)</f>
        <v>0</v>
      </c>
      <c r="F7" s="249" t="str">
        <f t="shared" si="0"/>
        <v>---</v>
      </c>
      <c r="G7" s="231">
        <f>SUMIFS('Diags Raw Data'!$S$6:$S$4790,'Diags Raw Data'!$D$6:$D$4790,$A7)</f>
        <v>0</v>
      </c>
      <c r="H7" s="227">
        <f>SUMIFS('Diags Raw Data'!$T$6:$T$4790,'Diags Raw Data'!$D$6:$D$4790,$A7)</f>
        <v>0</v>
      </c>
      <c r="I7" s="228">
        <f>SUMIFS('Diags Raw Data'!$U$6:$U$4790,'Diags Raw Data'!$D$6:$D$4790,$A7)</f>
        <v>0</v>
      </c>
      <c r="J7" s="227">
        <f>SUMIFS('Diags Raw Data'!$V$6:$V$4790,'Diags Raw Data'!$D$6:$D$4790,$A7)</f>
        <v>0</v>
      </c>
      <c r="K7" s="228">
        <f>SUMIFS('Diags Raw Data'!$W$6:$W$4790,'Diags Raw Data'!$D$6:$D$4790,$A7)</f>
        <v>0</v>
      </c>
      <c r="L7" s="244" t="str">
        <f t="shared" si="1"/>
        <v>---</v>
      </c>
      <c r="M7" s="229" t="str">
        <f t="shared" si="2"/>
        <v>---</v>
      </c>
      <c r="N7" s="238" t="str">
        <f t="shared" si="3"/>
        <v>---</v>
      </c>
      <c r="O7" s="214">
        <f>SUMIFS('Diags Raw Data'!$Z$6:$Z$4790,'Diags Raw Data'!$D$6:$D$4790,$A7)</f>
        <v>0</v>
      </c>
      <c r="P7" s="204">
        <f>SUMIFS('Diags Raw Data'!$AA$6:$AA$4790,'Diags Raw Data'!$D$6:$D$4790,$A7)</f>
        <v>0</v>
      </c>
      <c r="Q7" s="206">
        <f>SUMIFS('Diags Raw Data'!$AB$6:$AB$4790,'Diags Raw Data'!$D$6:$D$4790,$A7)</f>
        <v>0</v>
      </c>
      <c r="R7" s="204">
        <f>SUMIFS('Diags Raw Data'!$AC$6:$AC$4790,'Diags Raw Data'!$D$6:$D$4790,$A7)</f>
        <v>0</v>
      </c>
      <c r="S7" s="206">
        <f>SUMIFS('Diags Raw Data'!$AD$6:$AD$4790,'Diags Raw Data'!$D$6:$D$4790,$A7)</f>
        <v>0</v>
      </c>
      <c r="T7" s="205" t="str">
        <f t="shared" si="4"/>
        <v>---</v>
      </c>
      <c r="U7" s="230" t="str">
        <f t="shared" si="5"/>
        <v>---</v>
      </c>
      <c r="V7" s="232" t="str">
        <f t="shared" si="6"/>
        <v>---</v>
      </c>
    </row>
    <row r="8" spans="1:22" x14ac:dyDescent="0.25">
      <c r="A8" s="333" t="s">
        <v>949</v>
      </c>
      <c r="B8" s="253">
        <f>SUMIFS('Diags Raw Data'!$L$6:$L$4790,'Diags Raw Data'!$D$6:$D$4790,$A8)</f>
        <v>0</v>
      </c>
      <c r="C8" s="243">
        <f>SUMIFS('Diags Raw Data'!$R$6:$R$4790,'Diags Raw Data'!$D$6:$D$4790,$A8)</f>
        <v>0</v>
      </c>
      <c r="D8" s="243">
        <f>SUMIFS('Diags Raw Data'!$K$6:$K$4790,'Diags Raw Data'!$D$6:$D$4790,$A8)</f>
        <v>0</v>
      </c>
      <c r="E8" s="243">
        <f>SUMIFS('Diags Raw Data'!$O$6:$O$4790,'Diags Raw Data'!$D$6:$D$4790,$A8)</f>
        <v>0</v>
      </c>
      <c r="F8" s="249" t="str">
        <f t="shared" si="0"/>
        <v>---</v>
      </c>
      <c r="G8" s="231">
        <f>SUMIFS('Diags Raw Data'!$S$6:$S$4790,'Diags Raw Data'!$D$6:$D$4790,$A8)</f>
        <v>0</v>
      </c>
      <c r="H8" s="227">
        <f>SUMIFS('Diags Raw Data'!$T$6:$T$4790,'Diags Raw Data'!$D$6:$D$4790,$A8)</f>
        <v>0</v>
      </c>
      <c r="I8" s="228">
        <f>SUMIFS('Diags Raw Data'!$U$6:$U$4790,'Diags Raw Data'!$D$6:$D$4790,$A8)</f>
        <v>0</v>
      </c>
      <c r="J8" s="227">
        <f>SUMIFS('Diags Raw Data'!$V$6:$V$4790,'Diags Raw Data'!$D$6:$D$4790,$A8)</f>
        <v>0</v>
      </c>
      <c r="K8" s="228">
        <f>SUMIFS('Diags Raw Data'!$W$6:$W$4790,'Diags Raw Data'!$D$6:$D$4790,$A8)</f>
        <v>0</v>
      </c>
      <c r="L8" s="244" t="str">
        <f t="shared" si="1"/>
        <v>---</v>
      </c>
      <c r="M8" s="229" t="str">
        <f t="shared" si="2"/>
        <v>---</v>
      </c>
      <c r="N8" s="238" t="str">
        <f t="shared" si="3"/>
        <v>---</v>
      </c>
      <c r="O8" s="214">
        <f>SUMIFS('Diags Raw Data'!$Z$6:$Z$4790,'Diags Raw Data'!$D$6:$D$4790,$A8)</f>
        <v>0</v>
      </c>
      <c r="P8" s="204">
        <f>SUMIFS('Diags Raw Data'!$AA$6:$AA$4790,'Diags Raw Data'!$D$6:$D$4790,$A8)</f>
        <v>0</v>
      </c>
      <c r="Q8" s="206">
        <f>SUMIFS('Diags Raw Data'!$AB$6:$AB$4790,'Diags Raw Data'!$D$6:$D$4790,$A8)</f>
        <v>0</v>
      </c>
      <c r="R8" s="204">
        <f>SUMIFS('Diags Raw Data'!$AC$6:$AC$4790,'Diags Raw Data'!$D$6:$D$4790,$A8)</f>
        <v>0</v>
      </c>
      <c r="S8" s="206">
        <f>SUMIFS('Diags Raw Data'!$AD$6:$AD$4790,'Diags Raw Data'!$D$6:$D$4790,$A8)</f>
        <v>0</v>
      </c>
      <c r="T8" s="205" t="str">
        <f t="shared" si="4"/>
        <v>---</v>
      </c>
      <c r="U8" s="230" t="str">
        <f t="shared" si="5"/>
        <v>---</v>
      </c>
      <c r="V8" s="232" t="str">
        <f t="shared" si="6"/>
        <v>---</v>
      </c>
    </row>
    <row r="9" spans="1:22" x14ac:dyDescent="0.25">
      <c r="A9" s="333" t="s">
        <v>950</v>
      </c>
      <c r="B9" s="253">
        <f>SUMIFS('Diags Raw Data'!$L$6:$L$4790,'Diags Raw Data'!$D$6:$D$4790,$A9)</f>
        <v>0</v>
      </c>
      <c r="C9" s="243">
        <f>SUMIFS('Diags Raw Data'!$R$6:$R$4790,'Diags Raw Data'!$D$6:$D$4790,$A9)</f>
        <v>0</v>
      </c>
      <c r="D9" s="243">
        <f>SUMIFS('Diags Raw Data'!$K$6:$K$4790,'Diags Raw Data'!$D$6:$D$4790,$A9)</f>
        <v>0</v>
      </c>
      <c r="E9" s="243">
        <f>SUMIFS('Diags Raw Data'!$O$6:$O$4790,'Diags Raw Data'!$D$6:$D$4790,$A9)</f>
        <v>0</v>
      </c>
      <c r="F9" s="249" t="str">
        <f t="shared" si="0"/>
        <v>---</v>
      </c>
      <c r="G9" s="231">
        <f>SUMIFS('Diags Raw Data'!$S$6:$S$4790,'Diags Raw Data'!$D$6:$D$4790,$A9)</f>
        <v>0</v>
      </c>
      <c r="H9" s="227">
        <f>SUMIFS('Diags Raw Data'!$T$6:$T$4790,'Diags Raw Data'!$D$6:$D$4790,$A9)</f>
        <v>0</v>
      </c>
      <c r="I9" s="228">
        <f>SUMIFS('Diags Raw Data'!$U$6:$U$4790,'Diags Raw Data'!$D$6:$D$4790,$A9)</f>
        <v>0</v>
      </c>
      <c r="J9" s="227">
        <f>SUMIFS('Diags Raw Data'!$V$6:$V$4790,'Diags Raw Data'!$D$6:$D$4790,$A9)</f>
        <v>0</v>
      </c>
      <c r="K9" s="228">
        <f>SUMIFS('Diags Raw Data'!$W$6:$W$4790,'Diags Raw Data'!$D$6:$D$4790,$A9)</f>
        <v>0</v>
      </c>
      <c r="L9" s="244" t="str">
        <f t="shared" si="1"/>
        <v>---</v>
      </c>
      <c r="M9" s="229" t="str">
        <f t="shared" si="2"/>
        <v>---</v>
      </c>
      <c r="N9" s="238" t="str">
        <f t="shared" si="3"/>
        <v>---</v>
      </c>
      <c r="O9" s="214">
        <f>SUMIFS('Diags Raw Data'!$Z$6:$Z$4790,'Diags Raw Data'!$D$6:$D$4790,$A9)</f>
        <v>0</v>
      </c>
      <c r="P9" s="204">
        <f>SUMIFS('Diags Raw Data'!$AA$6:$AA$4790,'Diags Raw Data'!$D$6:$D$4790,$A9)</f>
        <v>0</v>
      </c>
      <c r="Q9" s="206">
        <f>SUMIFS('Diags Raw Data'!$AB$6:$AB$4790,'Diags Raw Data'!$D$6:$D$4790,$A9)</f>
        <v>0</v>
      </c>
      <c r="R9" s="204">
        <f>SUMIFS('Diags Raw Data'!$AC$6:$AC$4790,'Diags Raw Data'!$D$6:$D$4790,$A9)</f>
        <v>0</v>
      </c>
      <c r="S9" s="206">
        <f>SUMIFS('Diags Raw Data'!$AD$6:$AD$4790,'Diags Raw Data'!$D$6:$D$4790,$A9)</f>
        <v>0</v>
      </c>
      <c r="T9" s="205" t="str">
        <f t="shared" si="4"/>
        <v>---</v>
      </c>
      <c r="U9" s="230" t="str">
        <f>IF(NOT($O9=0), (P9+Q9)/$O9, "---")</f>
        <v>---</v>
      </c>
      <c r="V9" s="232" t="str">
        <f t="shared" si="6"/>
        <v>---</v>
      </c>
    </row>
    <row r="10" spans="1:22" x14ac:dyDescent="0.25">
      <c r="A10" s="333" t="s">
        <v>951</v>
      </c>
      <c r="B10" s="253">
        <f>SUMIFS('Diags Raw Data'!$L$6:$L$4790,'Diags Raw Data'!$D$6:$D$4790,$A10)</f>
        <v>0</v>
      </c>
      <c r="C10" s="243">
        <f>SUMIFS('Diags Raw Data'!$R$6:$R$4790,'Diags Raw Data'!$D$6:$D$4790,$A10)</f>
        <v>0</v>
      </c>
      <c r="D10" s="243">
        <f>SUMIFS('Diags Raw Data'!$K$6:$K$4790,'Diags Raw Data'!$D$6:$D$4790,$A10)</f>
        <v>0</v>
      </c>
      <c r="E10" s="243">
        <f>SUMIFS('Diags Raw Data'!$O$6:$O$4790,'Diags Raw Data'!$D$6:$D$4790,$A10)</f>
        <v>0</v>
      </c>
      <c r="F10" s="249" t="str">
        <f>IF(NOT($B10=0), E10/$B10, "---")</f>
        <v>---</v>
      </c>
      <c r="G10" s="231">
        <f>SUMIFS('Diags Raw Data'!$S$6:$S$4790,'Diags Raw Data'!$D$6:$D$4790,$A10)</f>
        <v>0</v>
      </c>
      <c r="H10" s="227">
        <f>SUMIFS('Diags Raw Data'!$T$6:$T$4790,'Diags Raw Data'!$D$6:$D$4790,$A10)</f>
        <v>0</v>
      </c>
      <c r="I10" s="228">
        <f>SUMIFS('Diags Raw Data'!$U$6:$U$4790,'Diags Raw Data'!$D$6:$D$4790,$A10)</f>
        <v>0</v>
      </c>
      <c r="J10" s="227">
        <f>SUMIFS('Diags Raw Data'!$V$6:$V$4790,'Diags Raw Data'!$D$6:$D$4790,$A10)</f>
        <v>0</v>
      </c>
      <c r="K10" s="228">
        <f>SUMIFS('Diags Raw Data'!$W$6:$W$4790,'Diags Raw Data'!$D$6:$D$4790,$A10)</f>
        <v>0</v>
      </c>
      <c r="L10" s="244" t="str">
        <f t="shared" si="1"/>
        <v>---</v>
      </c>
      <c r="M10" s="229" t="str">
        <f t="shared" si="2"/>
        <v>---</v>
      </c>
      <c r="N10" s="238" t="str">
        <f t="shared" si="3"/>
        <v>---</v>
      </c>
      <c r="O10" s="214">
        <f>SUMIFS('Diags Raw Data'!$Z$6:$Z$4790,'Diags Raw Data'!$D$6:$D$4790,$A10)</f>
        <v>0</v>
      </c>
      <c r="P10" s="204">
        <f>SUMIFS('Diags Raw Data'!$AA$6:$AA$4790,'Diags Raw Data'!$D$6:$D$4790,$A10)</f>
        <v>0</v>
      </c>
      <c r="Q10" s="206">
        <f>SUMIFS('Diags Raw Data'!$AB$6:$AB$4790,'Diags Raw Data'!$D$6:$D$4790,$A10)</f>
        <v>0</v>
      </c>
      <c r="R10" s="204">
        <f>SUMIFS('Diags Raw Data'!$AC$6:$AC$4790,'Diags Raw Data'!$D$6:$D$4790,$A10)</f>
        <v>0</v>
      </c>
      <c r="S10" s="206">
        <f>SUMIFS('Diags Raw Data'!$AD$6:$AD$4790,'Diags Raw Data'!$D$6:$D$4790,$A10)</f>
        <v>0</v>
      </c>
      <c r="T10" s="205" t="str">
        <f t="shared" si="4"/>
        <v>---</v>
      </c>
      <c r="U10" s="230" t="str">
        <f t="shared" ref="U10:U13" si="7">IF(NOT($O10=0), (P10+Q10)/$O10, "---")</f>
        <v>---</v>
      </c>
      <c r="V10" s="232" t="str">
        <f t="shared" si="6"/>
        <v>---</v>
      </c>
    </row>
    <row r="11" spans="1:22" x14ac:dyDescent="0.25">
      <c r="A11" s="333" t="s">
        <v>952</v>
      </c>
      <c r="B11" s="253">
        <f>SUMIFS('Diags Raw Data'!$L$6:$L$4790,'Diags Raw Data'!$D$6:$D$4790,$A11)</f>
        <v>0</v>
      </c>
      <c r="C11" s="243">
        <f>SUMIFS('Diags Raw Data'!$R$6:$R$4790,'Diags Raw Data'!$D$6:$D$4790,$A11)</f>
        <v>0</v>
      </c>
      <c r="D11" s="243">
        <f>SUMIFS('Diags Raw Data'!$K$6:$K$4790,'Diags Raw Data'!$D$6:$D$4790,$A11)</f>
        <v>0</v>
      </c>
      <c r="E11" s="243">
        <f>SUMIFS('Diags Raw Data'!$O$6:$O$4790,'Diags Raw Data'!$D$6:$D$4790,$A11)</f>
        <v>0</v>
      </c>
      <c r="F11" s="249" t="str">
        <f t="shared" si="0"/>
        <v>---</v>
      </c>
      <c r="G11" s="231">
        <f>SUMIFS('Diags Raw Data'!$S$6:$S$4790,'Diags Raw Data'!$D$6:$D$4790,$A11)</f>
        <v>0</v>
      </c>
      <c r="H11" s="227">
        <f>SUMIFS('Diags Raw Data'!$T$6:$T$4790,'Diags Raw Data'!$D$6:$D$4790,$A11)</f>
        <v>0</v>
      </c>
      <c r="I11" s="228">
        <f>SUMIFS('Diags Raw Data'!$U$6:$U$4790,'Diags Raw Data'!$D$6:$D$4790,$A11)</f>
        <v>0</v>
      </c>
      <c r="J11" s="227">
        <f>SUMIFS('Diags Raw Data'!$V$6:$V$4790,'Diags Raw Data'!$D$6:$D$4790,$A11)</f>
        <v>0</v>
      </c>
      <c r="K11" s="228">
        <f>SUMIFS('Diags Raw Data'!$W$6:$W$4790,'Diags Raw Data'!$D$6:$D$4790,$A11)</f>
        <v>0</v>
      </c>
      <c r="L11" s="244" t="str">
        <f t="shared" si="1"/>
        <v>---</v>
      </c>
      <c r="M11" s="229" t="str">
        <f t="shared" si="2"/>
        <v>---</v>
      </c>
      <c r="N11" s="238" t="str">
        <f t="shared" si="3"/>
        <v>---</v>
      </c>
      <c r="O11" s="214">
        <f>SUMIFS('Diags Raw Data'!$Z$6:$Z$4790,'Diags Raw Data'!$D$6:$D$4790,$A11)</f>
        <v>0</v>
      </c>
      <c r="P11" s="204">
        <f>SUMIFS('Diags Raw Data'!$AA$6:$AA$4790,'Diags Raw Data'!$D$6:$D$4790,$A11)</f>
        <v>0</v>
      </c>
      <c r="Q11" s="206">
        <f>SUMIFS('Diags Raw Data'!$AB$6:$AB$4790,'Diags Raw Data'!$D$6:$D$4790,$A11)</f>
        <v>0</v>
      </c>
      <c r="R11" s="204">
        <f>SUMIFS('Diags Raw Data'!$AC$6:$AC$4790,'Diags Raw Data'!$D$6:$D$4790,$A11)</f>
        <v>0</v>
      </c>
      <c r="S11" s="206">
        <f>SUMIFS('Diags Raw Data'!$AD$6:$AD$4790,'Diags Raw Data'!$D$6:$D$4790,$A11)</f>
        <v>0</v>
      </c>
      <c r="T11" s="205" t="str">
        <f t="shared" si="4"/>
        <v>---</v>
      </c>
      <c r="U11" s="230" t="str">
        <f t="shared" si="7"/>
        <v>---</v>
      </c>
      <c r="V11" s="232" t="str">
        <f t="shared" si="6"/>
        <v>---</v>
      </c>
    </row>
    <row r="12" spans="1:22" x14ac:dyDescent="0.25">
      <c r="A12" s="333" t="s">
        <v>953</v>
      </c>
      <c r="B12" s="253">
        <f>SUMIFS('Diags Raw Data'!$L$6:$L$4790,'Diags Raw Data'!$D$6:$D$4790,$A12)</f>
        <v>0</v>
      </c>
      <c r="C12" s="243">
        <f>SUMIFS('Diags Raw Data'!$R$6:$R$4790,'Diags Raw Data'!$D$6:$D$4790,$A12)</f>
        <v>0</v>
      </c>
      <c r="D12" s="243">
        <f>SUMIFS('Diags Raw Data'!$K$6:$K$4790,'Diags Raw Data'!$D$6:$D$4790,$A12)</f>
        <v>0</v>
      </c>
      <c r="E12" s="243">
        <f>SUMIFS('Diags Raw Data'!$O$6:$O$4790,'Diags Raw Data'!$D$6:$D$4790,$A12)</f>
        <v>0</v>
      </c>
      <c r="F12" s="249" t="str">
        <f t="shared" si="0"/>
        <v>---</v>
      </c>
      <c r="G12" s="231">
        <f>SUMIFS('Diags Raw Data'!$S$6:$S$4790,'Diags Raw Data'!$D$6:$D$4790,$A12)</f>
        <v>0</v>
      </c>
      <c r="H12" s="227">
        <f>SUMIFS('Diags Raw Data'!$T$6:$T$4790,'Diags Raw Data'!$D$6:$D$4790,$A12)</f>
        <v>0</v>
      </c>
      <c r="I12" s="228">
        <f>SUMIFS('Diags Raw Data'!$U$6:$U$4790,'Diags Raw Data'!$D$6:$D$4790,$A12)</f>
        <v>0</v>
      </c>
      <c r="J12" s="227">
        <f>SUMIFS('Diags Raw Data'!$V$6:$V$4790,'Diags Raw Data'!$D$6:$D$4790,$A12)</f>
        <v>0</v>
      </c>
      <c r="K12" s="228">
        <f>SUMIFS('Diags Raw Data'!$W$6:$W$4790,'Diags Raw Data'!$D$6:$D$4790,$A12)</f>
        <v>0</v>
      </c>
      <c r="L12" s="244" t="str">
        <f t="shared" si="1"/>
        <v>---</v>
      </c>
      <c r="M12" s="229" t="str">
        <f t="shared" si="2"/>
        <v>---</v>
      </c>
      <c r="N12" s="238" t="str">
        <f t="shared" si="3"/>
        <v>---</v>
      </c>
      <c r="O12" s="214">
        <f>SUMIFS('Diags Raw Data'!$Z$6:$Z$4790,'Diags Raw Data'!$D$6:$D$4790,$A12)</f>
        <v>0</v>
      </c>
      <c r="P12" s="204">
        <f>SUMIFS('Diags Raw Data'!$AA$6:$AA$4790,'Diags Raw Data'!$D$6:$D$4790,$A12)</f>
        <v>0</v>
      </c>
      <c r="Q12" s="206">
        <f>SUMIFS('Diags Raw Data'!$AB$6:$AB$4790,'Diags Raw Data'!$D$6:$D$4790,$A12)</f>
        <v>0</v>
      </c>
      <c r="R12" s="204">
        <f>SUMIFS('Diags Raw Data'!$AC$6:$AC$4790,'Diags Raw Data'!$D$6:$D$4790,$A12)</f>
        <v>0</v>
      </c>
      <c r="S12" s="206">
        <f>SUMIFS('Diags Raw Data'!$AD$6:$AD$4790,'Diags Raw Data'!$D$6:$D$4790,$A12)</f>
        <v>0</v>
      </c>
      <c r="T12" s="205" t="str">
        <f t="shared" si="4"/>
        <v>---</v>
      </c>
      <c r="U12" s="230" t="str">
        <f t="shared" si="7"/>
        <v>---</v>
      </c>
      <c r="V12" s="232" t="str">
        <f t="shared" si="6"/>
        <v>---</v>
      </c>
    </row>
    <row r="13" spans="1:22" ht="15.75" thickBot="1" x14ac:dyDescent="0.3">
      <c r="A13" s="334" t="s">
        <v>954</v>
      </c>
      <c r="B13" s="254">
        <f>SUMIFS('Diags Raw Data'!$L$6:$L$4790,'Diags Raw Data'!$D$6:$D$4790,$A13)</f>
        <v>0</v>
      </c>
      <c r="C13" s="245">
        <f>SUMIFS('Diags Raw Data'!$R$6:$R$4790,'Diags Raw Data'!$D$6:$D$4790,$A13)</f>
        <v>0</v>
      </c>
      <c r="D13" s="245">
        <f>SUMIFS('Diags Raw Data'!$K$6:$K$4790,'Diags Raw Data'!$D$6:$D$4790,$A13)</f>
        <v>0</v>
      </c>
      <c r="E13" s="245">
        <f>SUMIFS('Diags Raw Data'!$O$6:$O$4790,'Diags Raw Data'!$D$6:$D$4790,$A13)</f>
        <v>0</v>
      </c>
      <c r="F13" s="250" t="str">
        <f>IF(NOT($B13=0), E13/$B13, "---")</f>
        <v>---</v>
      </c>
      <c r="G13" s="233">
        <f>SUMIFS('Diags Raw Data'!$S$6:$S$4790,'Diags Raw Data'!$D$6:$D$4790,$A13)</f>
        <v>0</v>
      </c>
      <c r="H13" s="234">
        <f>SUMIFS('Diags Raw Data'!$T$6:$T$4790,'Diags Raw Data'!$D$6:$D$4790,$A13)</f>
        <v>0</v>
      </c>
      <c r="I13" s="235">
        <f>SUMIFS('Diags Raw Data'!$U$6:$U$4790,'Diags Raw Data'!$D$6:$D$4790,$A13)</f>
        <v>0</v>
      </c>
      <c r="J13" s="234">
        <f>SUMIFS('Diags Raw Data'!$V$6:$V$4790,'Diags Raw Data'!$D$6:$D$4790,$A13)</f>
        <v>0</v>
      </c>
      <c r="K13" s="235">
        <f>SUMIFS('Diags Raw Data'!$W$6:$W$4790,'Diags Raw Data'!$D$6:$D$4790,$A13)</f>
        <v>0</v>
      </c>
      <c r="L13" s="246" t="str">
        <f t="shared" si="1"/>
        <v>---</v>
      </c>
      <c r="M13" s="236" t="str">
        <f t="shared" si="2"/>
        <v>---</v>
      </c>
      <c r="N13" s="239" t="str">
        <f>IF(NOT($C13=0), (H13+I13)/$C13, "---")</f>
        <v>---</v>
      </c>
      <c r="O13" s="215">
        <f>SUMIFS('Diags Raw Data'!$Z$6:$Z$4790,'Diags Raw Data'!$D$6:$D$4790,$A13)</f>
        <v>0</v>
      </c>
      <c r="P13" s="207">
        <f>SUMIFS('Diags Raw Data'!$AA$6:$AA$4790,'Diags Raw Data'!$D$6:$D$4790,$A13)</f>
        <v>0</v>
      </c>
      <c r="Q13" s="209">
        <f>SUMIFS('Diags Raw Data'!$AB$6:$AB$4790,'Diags Raw Data'!$D$6:$D$4790,$A13)</f>
        <v>0</v>
      </c>
      <c r="R13" s="207">
        <f>SUMIFS('Diags Raw Data'!$AC$6:$AC$4790,'Diags Raw Data'!$D$6:$D$4790,$A13)</f>
        <v>0</v>
      </c>
      <c r="S13" s="209">
        <f>SUMIFS('Diags Raw Data'!$AD$6:$AD$4790,'Diags Raw Data'!$D$6:$D$4790,$A13)</f>
        <v>0</v>
      </c>
      <c r="T13" s="208" t="str">
        <f t="shared" si="4"/>
        <v>---</v>
      </c>
      <c r="U13" s="240" t="str">
        <f t="shared" si="7"/>
        <v>---</v>
      </c>
      <c r="V13" s="237" t="str">
        <f t="shared" si="6"/>
        <v>---</v>
      </c>
    </row>
    <row r="14" spans="1:22" ht="16.5" thickBot="1" x14ac:dyDescent="0.3">
      <c r="A14" s="273" t="s">
        <v>955</v>
      </c>
      <c r="B14" s="257">
        <f>SUM(B4:B13)</f>
        <v>0</v>
      </c>
      <c r="C14" s="258">
        <f>SUM(C4:C13)</f>
        <v>0</v>
      </c>
      <c r="D14" s="258">
        <f>SUM(D4:D13)</f>
        <v>0</v>
      </c>
      <c r="E14" s="258">
        <f>SUM(E4:E13)</f>
        <v>0</v>
      </c>
      <c r="F14" s="259" t="e" cm="1">
        <f t="array" ref="F14">SUMPRODUCT(--(ISNUMBER(SEARCH("New",'Diags Raw Data'!$M$6:$M$4790))),'Diags Raw Data'!$K$6:$K$4790,'Diags Raw Data'!$P$6:$P$4790)/D14+SUMPRODUCT(--(ISNUMBER(SEARCH("Delta",'Diags Raw Data'!$M$6:$M$4790))),'Diags Raw Data'!$K$6:$K$4790,'Diags Raw Data'!$P$6:$P$4790)/D14+SUMPRODUCT(--(ISNUMBER(SEARCH("Legacy",'Diags Raw Data'!$M$6:$M$4790))),'Diags Raw Data'!$K$6:$K$4790,'Diags Raw Data'!$P$6:$P$4790)/D14</f>
        <v>#DIV/0!</v>
      </c>
      <c r="G14" s="260">
        <f>SUM(G4:G13)</f>
        <v>0</v>
      </c>
      <c r="H14" s="261">
        <f>SUM(H4:H13)</f>
        <v>0</v>
      </c>
      <c r="I14" s="262">
        <f>SUM(I4:I13)</f>
        <v>0</v>
      </c>
      <c r="J14" s="261">
        <f>SUM(J4:J13)</f>
        <v>0</v>
      </c>
      <c r="K14" s="262">
        <f>SUM(K4:K13)</f>
        <v>0</v>
      </c>
      <c r="L14" s="263" t="str">
        <f>IF(NOT($C14=0), G14/$C14, "---")</f>
        <v>---</v>
      </c>
      <c r="M14" s="264" t="str">
        <f>IF(NOT($G14=0), (H14+I14)/$G14, "---")</f>
        <v>---</v>
      </c>
      <c r="N14" s="265" t="str">
        <f>IF(NOT($C14=0), (H14+I14)/$C14, "---")</f>
        <v>---</v>
      </c>
      <c r="O14" s="266">
        <f>SUM(O4:O13)</f>
        <v>0</v>
      </c>
      <c r="P14" s="267">
        <f>SUM(P4:P13)</f>
        <v>0</v>
      </c>
      <c r="Q14" s="268">
        <f>SUM(Q4:Q13)</f>
        <v>0</v>
      </c>
      <c r="R14" s="267">
        <f>SUM(R4:R13)</f>
        <v>0</v>
      </c>
      <c r="S14" s="268">
        <f>SUM(S4:S13)</f>
        <v>0</v>
      </c>
      <c r="T14" s="269" t="str">
        <f>IF(NOT($B14=0), O14/$B14, "---")</f>
        <v>---</v>
      </c>
      <c r="U14" s="270" t="str">
        <f>IF(NOT($O14=0), (P14+Q14)/$O14, "---")</f>
        <v>---</v>
      </c>
      <c r="V14" s="271" t="str">
        <f>IF(NOT($B14=0), (P14+Q14)/$B14, "---")</f>
        <v>---</v>
      </c>
    </row>
    <row r="15" spans="1:22" ht="15.75" thickBot="1" x14ac:dyDescent="0.3"/>
    <row r="16" spans="1:22" ht="15.75" thickBot="1" x14ac:dyDescent="0.3">
      <c r="A16" s="216" t="s">
        <v>956</v>
      </c>
      <c r="B16" s="676" t="s">
        <v>166</v>
      </c>
      <c r="C16" s="676"/>
      <c r="D16" s="676"/>
      <c r="E16" s="676"/>
      <c r="F16" s="676"/>
      <c r="G16" s="677" t="s">
        <v>177</v>
      </c>
      <c r="H16" s="678"/>
      <c r="I16" s="678"/>
      <c r="J16" s="678"/>
      <c r="K16" s="678"/>
      <c r="L16" s="678"/>
      <c r="M16" s="678"/>
      <c r="N16" s="679"/>
      <c r="O16" s="680" t="s">
        <v>144</v>
      </c>
      <c r="P16" s="681"/>
      <c r="Q16" s="681"/>
      <c r="R16" s="681"/>
      <c r="S16" s="681"/>
      <c r="T16" s="681"/>
      <c r="U16" s="681"/>
      <c r="V16" s="682"/>
    </row>
    <row r="17" spans="1:22" s="251" customFormat="1" ht="15.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3" t="s">
        <v>945</v>
      </c>
      <c r="B18" s="252">
        <f>SUMIFS('Diags Raw Data'!$L$6:$L$4790,'Diags Raw Data'!$D$6:$D$4790,$A18,'Diags Raw Data'!$M$6:$M$4790,"New")+SUMIFS('Diags Raw Data'!$L$6:$L$4790,'Diags Raw Data'!$D$6:$D$4790,$A18,'Diags Raw Data'!$M$6:$M$4790,"Delta")</f>
        <v>0</v>
      </c>
      <c r="C18" s="242">
        <f>SUMIFS('Diags Raw Data'!$R$6:$R$4790,'Diags Raw Data'!$D$6:$D$4790,$A18,'Diags Raw Data'!$M$6:$M$4790,"New")+SUMIFS('Diags Raw Data'!$R$6:$R$4790,'Diags Raw Data'!$D$6:$D$4790,$A18,'Diags Raw Data'!$M$6:$M$4790,"Delta")</f>
        <v>0</v>
      </c>
      <c r="D18" s="242">
        <f>SUMIFS('Diags Raw Data'!$K$6:$K$4790,'Diags Raw Data'!$D$6:$D$4790,$A18,'Diags Raw Data'!$M$6:$M$4790,"New")+SUMIFS('Diags Raw Data'!$K$6:$K$4790,'Diags Raw Data'!$D$6:$D$4790,$A18,'Diags Raw Data'!$M$6:$M$4790,"Delta")</f>
        <v>0</v>
      </c>
      <c r="E18" s="242">
        <f>SUMIFS('Diags Raw Data'!$O$6:$O$4790,'Diags Raw Data'!$D$6:$D$4790,$A18,'Diags Raw Data'!$M$6:$M$4790,"New")+SUMIFS('Diags Raw Data'!$O$6:$O$4790,'Diags Raw Data'!$D$6:$D$4790,$A18,'Diags Raw Data'!$M$6:$M$4790,"Delta")</f>
        <v>0</v>
      </c>
      <c r="F18" s="248" t="str">
        <f t="shared" ref="F18:F27" si="8">IF(NOT($B18=0), E18/$B18, "---")</f>
        <v>---</v>
      </c>
      <c r="G18" s="220">
        <f>SUMIFS('Diags Raw Data'!$S$6:$S$4790,'Diags Raw Data'!$D$6:$D$4790,$A18,'Diags Raw Data'!$M$6:$M$4790,"New")+SUMIFS('Diags Raw Data'!$S$6:$S$4790,'Diags Raw Data'!$D$6:$D$4790,$A18,'Diags Raw Data'!$M$6:$M$4790,"Delta")</f>
        <v>0</v>
      </c>
      <c r="H18" s="221">
        <f>SUMIFS('Diags Raw Data'!$T$6:$T$4790,'Diags Raw Data'!$D$6:$D$4790,$A18,'Diags Raw Data'!$M$6:$M$4790,"New")+SUMIFS('Diags Raw Data'!$T$6:$T$4790,'Diags Raw Data'!$D$6:$D$4790,$A18,'Diags Raw Data'!$M$6:$M$4790,"Delta")</f>
        <v>0</v>
      </c>
      <c r="I18" s="221">
        <f>SUMIFS('Diags Raw Data'!$U$6:$U$4790,'Diags Raw Data'!$D$6:$D$4790,$A18,'Diags Raw Data'!$M$6:$M$4790,"New")+SUMIFS('Diags Raw Data'!$U$6:$U$4790,'Diags Raw Data'!$D$6:$D$4790,$A18,'Diags Raw Data'!$M$6:$M$4790,"Delta")</f>
        <v>0</v>
      </c>
      <c r="J18" s="221">
        <f>SUMIFS('Diags Raw Data'!$V$6:$V$4790,'Diags Raw Data'!$D$6:$D$4790,$A18,'Diags Raw Data'!$M$6:$M$4790,"New")+SUMIFS('Diags Raw Data'!$V$6:$V$4790,'Diags Raw Data'!$D$6:$D$4790,$A18,'Diags Raw Data'!$M$6:$M$4790,"Delta")</f>
        <v>0</v>
      </c>
      <c r="K18" s="221">
        <f>SUMIFS('Diags Raw Data'!$W$6:$W$4790,'Diags Raw Data'!$D$6:$D$4790,$A18,'Diags Raw Data'!$M$6:$M$4790,"New")+SUMIFS('Diags Raw Data'!$W$6:$W$4790,'Diags Raw Data'!$D$6:$D$4790,$A18,'Diags Raw Data'!$M$6:$M$4790,"Delta")</f>
        <v>0</v>
      </c>
      <c r="L18" s="222" t="str">
        <f>IF(NOT($C18=0), G18/$C18, "---")</f>
        <v>---</v>
      </c>
      <c r="M18" s="224" t="str">
        <f>IF(NOT($G18=0), (H18+I18)/$G18, "---")</f>
        <v>---</v>
      </c>
      <c r="N18" s="226" t="str">
        <f>IF(NOT($C18=0), (H18+I18)/$C18, "---")</f>
        <v>---</v>
      </c>
      <c r="O18" s="213">
        <f>SUMIFS('Diags Raw Data'!$Z$6:$Z$4790,'Diags Raw Data'!$D$6:$D$4790,$A18,'Diags Raw Data'!$M$6:$M$4790,"New")+SUMIFS('Diags Raw Data'!$Z$6:$Z$4790,'Diags Raw Data'!$D$6:$D$4790,$A18,'Diags Raw Data'!$M$6:$M$4790,"Delta")</f>
        <v>0</v>
      </c>
      <c r="P18" s="210">
        <f>SUMIFS('Diags Raw Data'!$AA$6:$AA$4790,'Diags Raw Data'!$D$6:$D$4790,$A18,'Diags Raw Data'!$M$6:$M$4790,"New")+SUMIFS('Diags Raw Data'!$AA$6:$AA$4790,'Diags Raw Data'!$D$6:$D$4790,$A18,'Diags Raw Data'!$M$6:$M$4790,"Delta")</f>
        <v>0</v>
      </c>
      <c r="Q18" s="210">
        <f>SUMIFS('Diags Raw Data'!$AB$6:$AB$4790,'Diags Raw Data'!$D$6:$D$4790,$A18,'Diags Raw Data'!$M$6:$M$4790,"New")+SUMIFS('Diags Raw Data'!$AB$6:$AB$4790,'Diags Raw Data'!$D$6:$D$4790,$A18,'Diags Raw Data'!$M$6:$M$4790,"Delta")</f>
        <v>0</v>
      </c>
      <c r="R18" s="210">
        <f>SUMIFS('Diags Raw Data'!$AC$6:$AC$4790,'Diags Raw Data'!$D$6:$D$4790,$A18,'Diags Raw Data'!$M$6:$M$4790,"New")+SUMIFS('Diags Raw Data'!$AC$6:$AC$4790,'Diags Raw Data'!$D$6:$D$4790,$A18,'Diags Raw Data'!$M$6:$M$4790,"Delta")</f>
        <v>0</v>
      </c>
      <c r="S18" s="210">
        <f>SUMIFS('Diags Raw Data'!$AD$6:$AD$4790,'Diags Raw Data'!$D$6:$D$4790,$A18,'Diags Raw Data'!$M$6:$M$4790,"New")+SUMIFS('Diags Raw Data'!$AD$6:$AD$4790,'Diags Raw Data'!$D$6:$D$4790,$A18,'Diags Raw Data'!$M$6:$M$4790,"Delta")</f>
        <v>0</v>
      </c>
      <c r="T18" s="211" t="str">
        <f>IF(NOT($B18=0), O18/$B18, "---")</f>
        <v>---</v>
      </c>
      <c r="U18" s="225" t="str">
        <f>IF(NOT($O18=0), (P18+Q18)/$O18, "---")</f>
        <v>---</v>
      </c>
      <c r="V18" s="241" t="str">
        <f>IF(NOT($B18=0), (P18+Q18)/$B18, "---")</f>
        <v>---</v>
      </c>
    </row>
    <row r="19" spans="1:22" x14ac:dyDescent="0.25">
      <c r="A19" s="333" t="s">
        <v>946</v>
      </c>
      <c r="B19" s="253">
        <f>SUMIFS('Diags Raw Data'!$L$6:$L$4790,'Diags Raw Data'!$D$6:$D$4790,$A19,'Diags Raw Data'!$M$6:$M$4790,"New")+SUMIFS('Diags Raw Data'!$L$6:$L$4790,'Diags Raw Data'!$D$6:$D$4790,$A19,'Diags Raw Data'!$M$6:$M$4790,"Delta")</f>
        <v>0</v>
      </c>
      <c r="C19" s="243">
        <f>SUMIFS('Diags Raw Data'!$R$6:$R$4790,'Diags Raw Data'!$D$6:$D$4790,$A19,'Diags Raw Data'!$M$6:$M$4790,"New")+SUMIFS('Diags Raw Data'!$R$6:$R$4790,'Diags Raw Data'!$D$6:$D$4790,$A19,'Diags Raw Data'!$M$6:$M$4790,"Delta")</f>
        <v>0</v>
      </c>
      <c r="D19" s="243">
        <f>SUMIFS('Diags Raw Data'!$K$6:$K$4790,'Diags Raw Data'!$D$6:$D$4790,$A19,'Diags Raw Data'!$M$6:$M$4790,"New")+SUMIFS('Diags Raw Data'!$K$6:$K$4790,'Diags Raw Data'!$D$6:$D$4790,$A19,'Diags Raw Data'!$M$6:$M$4790,"Delta")</f>
        <v>0</v>
      </c>
      <c r="E19" s="243">
        <f>SUMIFS('Diags Raw Data'!$O$6:$O$4790,'Diags Raw Data'!$D$6:$D$4790,$A19,'Diags Raw Data'!$M$6:$M$4790,"New")+SUMIFS('Diags Raw Data'!$O$6:$O$4790,'Diags Raw Data'!$D$6:$D$4790,$A19,'Diags Raw Data'!$M$6:$M$4790,"Delta")</f>
        <v>0</v>
      </c>
      <c r="F19" s="249" t="str">
        <f t="shared" si="8"/>
        <v>---</v>
      </c>
      <c r="G19" s="231">
        <f>SUMIFS('Diags Raw Data'!$S$6:$S$4790,'Diags Raw Data'!$D$6:$D$4790,$A19,'Diags Raw Data'!$M$6:$M$4790,"New")+SUMIFS('Diags Raw Data'!$S$6:$S$4790,'Diags Raw Data'!$D$6:$D$4790,$A19,'Diags Raw Data'!$M$6:$M$4790,"Delta")</f>
        <v>0</v>
      </c>
      <c r="H19" s="227">
        <f>SUMIFS('Diags Raw Data'!$T$6:$T$4790,'Diags Raw Data'!$D$6:$D$4790,$A19,'Diags Raw Data'!$M$6:$M$4790,"New")+SUMIFS('Diags Raw Data'!$T$6:$T$4790,'Diags Raw Data'!$D$6:$D$4790,$A19,'Diags Raw Data'!$M$6:$M$4790,"Delta")</f>
        <v>0</v>
      </c>
      <c r="I19" s="227">
        <f>SUMIFS('Diags Raw Data'!$U$6:$U$4790,'Diags Raw Data'!$D$6:$D$4790,$A19,'Diags Raw Data'!$M$6:$M$4790,"New")+SUMIFS('Diags Raw Data'!$U$6:$U$4790,'Diags Raw Data'!$D$6:$D$4790,$A19,'Diags Raw Data'!$M$6:$M$4790,"Delta")</f>
        <v>0</v>
      </c>
      <c r="J19" s="227">
        <f>SUMIFS('Diags Raw Data'!$V$6:$V$4790,'Diags Raw Data'!$D$6:$D$4790,$A19,'Diags Raw Data'!$M$6:$M$4790,"New")+SUMIFS('Diags Raw Data'!$V$6:$V$4790,'Diags Raw Data'!$D$6:$D$4790,$A19,'Diags Raw Data'!$M$6:$M$4790,"Delta")</f>
        <v>0</v>
      </c>
      <c r="K19" s="227">
        <f>SUMIFS('Diags Raw Data'!$W$6:$W$4790,'Diags Raw Data'!$D$6:$D$4790,$A19,'Diags Raw Data'!$M$6:$M$4790,"New")+SUMIFS('Diags Raw Data'!$W$6:$W$4790,'Diags Raw Data'!$D$6:$D$4790,$A19,'Diags Raw Data'!$M$6:$M$4790,"Delta")</f>
        <v>0</v>
      </c>
      <c r="L19" s="244" t="str">
        <f>IF(NOT($C19=0), G19/$C19, "---")</f>
        <v>---</v>
      </c>
      <c r="M19" s="229" t="str">
        <f>IF(NOT($G19=0), (H19+I19)/$G19, "---")</f>
        <v>---</v>
      </c>
      <c r="N19" s="238" t="str">
        <f>IF(NOT($C19=0), (H19+I19)/$C19, "---")</f>
        <v>---</v>
      </c>
      <c r="O19" s="214">
        <f>SUMIFS('Diags Raw Data'!$Z$6:$Z$4790,'Diags Raw Data'!$D$6:$D$4790,$A19,'Diags Raw Data'!$M$6:$M$4790,"New")+SUMIFS('Diags Raw Data'!$Z$6:$Z$4790,'Diags Raw Data'!$D$6:$D$4790,$A19,'Diags Raw Data'!$M$6:$M$4790,"Delta")</f>
        <v>0</v>
      </c>
      <c r="P19" s="204">
        <f>SUMIFS('Diags Raw Data'!$AA$6:$AA$4790,'Diags Raw Data'!$D$6:$D$4790,$A19,'Diags Raw Data'!$M$6:$M$4790,"New")+SUMIFS('Diags Raw Data'!$AA$6:$AA$4790,'Diags Raw Data'!$D$6:$D$4790,$A19,'Diags Raw Data'!$M$6:$M$4790,"Delta")</f>
        <v>0</v>
      </c>
      <c r="Q19" s="204">
        <f>SUMIFS('Diags Raw Data'!$AB$6:$AB$4790,'Diags Raw Data'!$D$6:$D$4790,$A19,'Diags Raw Data'!$M$6:$M$4790,"New")+SUMIFS('Diags Raw Data'!$AB$6:$AB$4790,'Diags Raw Data'!$D$6:$D$4790,$A19,'Diags Raw Data'!$M$6:$M$4790,"Delta")</f>
        <v>0</v>
      </c>
      <c r="R19" s="204">
        <f>SUMIFS('Diags Raw Data'!$AC$6:$AC$4790,'Diags Raw Data'!$D$6:$D$4790,$A19,'Diags Raw Data'!$M$6:$M$4790,"New")+SUMIFS('Diags Raw Data'!$AC$6:$AC$4790,'Diags Raw Data'!$D$6:$D$4790,$A19,'Diags Raw Data'!$M$6:$M$4790,"Delta")</f>
        <v>0</v>
      </c>
      <c r="S19" s="204">
        <f>SUMIFS('Diags Raw Data'!$AD$6:$AD$4790,'Diags Raw Data'!$D$6:$D$4790,$A19,'Diags Raw Data'!$M$6:$M$4790,"New")+SUMIFS('Diags Raw Data'!$AD$6:$AD$4790,'Diags Raw Data'!$D$6:$D$4790,$A19,'Diags Raw Data'!$M$6:$M$4790,"Delta")</f>
        <v>0</v>
      </c>
      <c r="T19" s="205" t="str">
        <f>IF(NOT($B19=0), O19/$B19, "---")</f>
        <v>---</v>
      </c>
      <c r="U19" s="230" t="str">
        <f>IF(NOT($O19=0), (P19+Q19)/$O19, "---")</f>
        <v>---</v>
      </c>
      <c r="V19" s="232" t="str">
        <f t="shared" ref="V19:V28" si="9">IF(NOT($B19=0), (P19+Q19)/$B19, "---")</f>
        <v>---</v>
      </c>
    </row>
    <row r="20" spans="1:22" x14ac:dyDescent="0.25">
      <c r="A20" s="333" t="s">
        <v>947</v>
      </c>
      <c r="B20" s="253">
        <f>SUMIFS('Diags Raw Data'!$L$6:$L$4790,'Diags Raw Data'!$D$6:$D$4790,$A20,'Diags Raw Data'!$M$6:$M$4790,"New")+SUMIFS('Diags Raw Data'!$L$6:$L$4790,'Diags Raw Data'!$D$6:$D$4790,$A20,'Diags Raw Data'!$M$6:$M$4790,"Delta")</f>
        <v>0</v>
      </c>
      <c r="C20" s="243">
        <f>SUMIFS('Diags Raw Data'!$R$6:$R$4790,'Diags Raw Data'!$D$6:$D$4790,$A20,'Diags Raw Data'!$M$6:$M$4790,"New")+SUMIFS('Diags Raw Data'!$R$6:$R$4790,'Diags Raw Data'!$D$6:$D$4790,$A20,'Diags Raw Data'!$M$6:$M$4790,"Delta")</f>
        <v>0</v>
      </c>
      <c r="D20" s="243">
        <f>SUMIFS('Diags Raw Data'!$K$6:$K$4790,'Diags Raw Data'!$D$6:$D$4790,$A20,'Diags Raw Data'!$M$6:$M$4790,"New")+SUMIFS('Diags Raw Data'!$K$6:$K$4790,'Diags Raw Data'!$D$6:$D$4790,$A20,'Diags Raw Data'!$M$6:$M$4790,"Delta")</f>
        <v>0</v>
      </c>
      <c r="E20" s="243">
        <f>SUMIFS('Diags Raw Data'!$O$6:$O$4790,'Diags Raw Data'!$D$6:$D$4790,$A20,'Diags Raw Data'!$M$6:$M$4790,"New")+SUMIFS('Diags Raw Data'!$O$6:$O$4790,'Diags Raw Data'!$D$6:$D$4790,$A20,'Diags Raw Data'!$M$6:$M$4790,"Delta")</f>
        <v>0</v>
      </c>
      <c r="F20" s="249" t="str">
        <f>IF(NOT($B20=0), E20/$B20, "---")</f>
        <v>---</v>
      </c>
      <c r="G20" s="231">
        <f>SUMIFS('Diags Raw Data'!$S$6:$S$4790,'Diags Raw Data'!$D$6:$D$4790,$A20,'Diags Raw Data'!$M$6:$M$4790,"New")+SUMIFS('Diags Raw Data'!$S$6:$S$4790,'Diags Raw Data'!$D$6:$D$4790,$A20,'Diags Raw Data'!$M$6:$M$4790,"Delta")</f>
        <v>0</v>
      </c>
      <c r="H20" s="227">
        <f>SUMIFS('Diags Raw Data'!$T$6:$T$4790,'Diags Raw Data'!$D$6:$D$4790,$A20,'Diags Raw Data'!$M$6:$M$4790,"New")+SUMIFS('Diags Raw Data'!$T$6:$T$4790,'Diags Raw Data'!$D$6:$D$4790,$A20,'Diags Raw Data'!$M$6:$M$4790,"Delta")</f>
        <v>0</v>
      </c>
      <c r="I20" s="227">
        <f>SUMIFS('Diags Raw Data'!$U$6:$U$4790,'Diags Raw Data'!$D$6:$D$4790,$A20,'Diags Raw Data'!$M$6:$M$4790,"New")+SUMIFS('Diags Raw Data'!$U$6:$U$4790,'Diags Raw Data'!$D$6:$D$4790,$A20,'Diags Raw Data'!$M$6:$M$4790,"Delta")</f>
        <v>0</v>
      </c>
      <c r="J20" s="227">
        <f>SUMIFS('Diags Raw Data'!$V$6:$V$4790,'Diags Raw Data'!$D$6:$D$4790,$A20,'Diags Raw Data'!$M$6:$M$4790,"New")+SUMIFS('Diags Raw Data'!$V$6:$V$4790,'Diags Raw Data'!$D$6:$D$4790,$A20,'Diags Raw Data'!$M$6:$M$4790,"Delta")</f>
        <v>0</v>
      </c>
      <c r="K20" s="227">
        <f>SUMIFS('Diags Raw Data'!$W$6:$W$4790,'Diags Raw Data'!$D$6:$D$4790,$A20,'Diags Raw Data'!$M$6:$M$4790,"New")+SUMIFS('Diags Raw Data'!$W$6:$W$4790,'Diags Raw Data'!$D$6:$D$4790,$A20,'Diags Raw Data'!$M$6:$M$4790,"Delta")</f>
        <v>0</v>
      </c>
      <c r="L20" s="244" t="str">
        <f t="shared" ref="L20:L27" si="10">IF(NOT($C20=0), G20/$C20, "---")</f>
        <v>---</v>
      </c>
      <c r="M20" s="229" t="str">
        <f>IF(NOT($G20=0), (H20+I20)/$G20, "---")</f>
        <v>---</v>
      </c>
      <c r="N20" s="238" t="str">
        <f t="shared" ref="N20:N27" si="11">IF(NOT($C20=0), (H20+I20)/$C20, "---")</f>
        <v>---</v>
      </c>
      <c r="O20" s="214">
        <f>SUMIFS('Diags Raw Data'!$Z$6:$Z$4790,'Diags Raw Data'!$D$6:$D$4790,$A20,'Diags Raw Data'!$M$6:$M$4790,"New")+SUMIFS('Diags Raw Data'!$Z$6:$Z$4790,'Diags Raw Data'!$D$6:$D$4790,$A20,'Diags Raw Data'!$M$6:$M$4790,"Delta")</f>
        <v>0</v>
      </c>
      <c r="P20" s="204">
        <f>SUMIFS('Diags Raw Data'!$AA$6:$AA$4790,'Diags Raw Data'!$D$6:$D$4790,$A20,'Diags Raw Data'!$M$6:$M$4790,"New")+SUMIFS('Diags Raw Data'!$AA$6:$AA$4790,'Diags Raw Data'!$D$6:$D$4790,$A20,'Diags Raw Data'!$M$6:$M$4790,"Delta")</f>
        <v>0</v>
      </c>
      <c r="Q20" s="204">
        <f>SUMIFS('Diags Raw Data'!$AB$6:$AB$4790,'Diags Raw Data'!$D$6:$D$4790,$A20,'Diags Raw Data'!$M$6:$M$4790,"New")+SUMIFS('Diags Raw Data'!$AB$6:$AB$4790,'Diags Raw Data'!$D$6:$D$4790,$A20,'Diags Raw Data'!$M$6:$M$4790,"Delta")</f>
        <v>0</v>
      </c>
      <c r="R20" s="204">
        <f>SUMIFS('Diags Raw Data'!$AC$6:$AC$4790,'Diags Raw Data'!$D$6:$D$4790,$A20,'Diags Raw Data'!$M$6:$M$4790,"New")+SUMIFS('Diags Raw Data'!$AC$6:$AC$4790,'Diags Raw Data'!$D$6:$D$4790,$A20,'Diags Raw Data'!$M$6:$M$4790,"Delta")</f>
        <v>0</v>
      </c>
      <c r="S20" s="204">
        <f>SUMIFS('Diags Raw Data'!$AD$6:$AD$4790,'Diags Raw Data'!$D$6:$D$4790,$A20,'Diags Raw Data'!$M$6:$M$4790,"New")+SUMIFS('Diags Raw Data'!$AD$6:$AD$4790,'Diags Raw Data'!$D$6:$D$4790,$A20,'Diags Raw Data'!$M$6:$M$4790,"Delta")</f>
        <v>0</v>
      </c>
      <c r="T20" s="205" t="str">
        <f t="shared" ref="T20:T27" si="12">IF(NOT($B20=0), O20/$B20, "---")</f>
        <v>---</v>
      </c>
      <c r="U20" s="230" t="str">
        <f t="shared" ref="U20:U28" si="13">IF(NOT($O20=0), (P20+Q20)/$O20, "---")</f>
        <v>---</v>
      </c>
      <c r="V20" s="232" t="str">
        <f>IF(NOT($B20=0), (P20+Q20)/$B20, "---")</f>
        <v>---</v>
      </c>
    </row>
    <row r="21" spans="1:22" x14ac:dyDescent="0.25">
      <c r="A21" s="333" t="s">
        <v>948</v>
      </c>
      <c r="B21" s="253">
        <f>SUMIFS('Diags Raw Data'!$L$6:$L$4790,'Diags Raw Data'!$D$6:$D$4790,$A21,'Diags Raw Data'!$M$6:$M$4790,"New")+SUMIFS('Diags Raw Data'!$L$6:$L$4790,'Diags Raw Data'!$D$6:$D$4790,$A21,'Diags Raw Data'!$M$6:$M$4790,"Delta")</f>
        <v>0</v>
      </c>
      <c r="C21" s="243">
        <f>SUMIFS('Diags Raw Data'!$R$6:$R$4790,'Diags Raw Data'!$D$6:$D$4790,$A21,'Diags Raw Data'!$M$6:$M$4790,"New")+SUMIFS('Diags Raw Data'!$R$6:$R$4790,'Diags Raw Data'!$D$6:$D$4790,$A21,'Diags Raw Data'!$M$6:$M$4790,"Delta")</f>
        <v>0</v>
      </c>
      <c r="D21" s="243">
        <f>SUMIFS('Diags Raw Data'!$K$6:$K$4790,'Diags Raw Data'!$D$6:$D$4790,$A21,'Diags Raw Data'!$M$6:$M$4790,"New")+SUMIFS('Diags Raw Data'!$K$6:$K$4790,'Diags Raw Data'!$D$6:$D$4790,$A21,'Diags Raw Data'!$M$6:$M$4790,"Delta")</f>
        <v>0</v>
      </c>
      <c r="E21" s="243">
        <f>SUMIFS('Diags Raw Data'!$O$6:$O$4790,'Diags Raw Data'!$D$6:$D$4790,$A21,'Diags Raw Data'!$M$6:$M$4790,"New")+SUMIFS('Diags Raw Data'!$O$6:$O$4790,'Diags Raw Data'!$D$6:$D$4790,$A21,'Diags Raw Data'!$M$6:$M$4790,"Delta")</f>
        <v>0</v>
      </c>
      <c r="F21" s="249" t="str">
        <f t="shared" si="8"/>
        <v>---</v>
      </c>
      <c r="G21" s="231">
        <f>SUMIFS('Diags Raw Data'!$S$6:$S$4790,'Diags Raw Data'!$D$6:$D$4790,$A21,'Diags Raw Data'!$M$6:$M$4790,"New")+SUMIFS('Diags Raw Data'!$S$6:$S$4790,'Diags Raw Data'!$D$6:$D$4790,$A21,'Diags Raw Data'!$M$6:$M$4790,"Delta")</f>
        <v>0</v>
      </c>
      <c r="H21" s="227">
        <f>SUMIFS('Diags Raw Data'!$T$6:$T$4790,'Diags Raw Data'!$D$6:$D$4790,$A21,'Diags Raw Data'!$M$6:$M$4790,"New")+SUMIFS('Diags Raw Data'!$T$6:$T$4790,'Diags Raw Data'!$D$6:$D$4790,$A21,'Diags Raw Data'!$M$6:$M$4790,"Delta")</f>
        <v>0</v>
      </c>
      <c r="I21" s="227">
        <f>SUMIFS('Diags Raw Data'!$U$6:$U$4790,'Diags Raw Data'!$D$6:$D$4790,$A21,'Diags Raw Data'!$M$6:$M$4790,"New")+SUMIFS('Diags Raw Data'!$U$6:$U$4790,'Diags Raw Data'!$D$6:$D$4790,$A21,'Diags Raw Data'!$M$6:$M$4790,"Delta")</f>
        <v>0</v>
      </c>
      <c r="J21" s="227">
        <f>SUMIFS('Diags Raw Data'!$V$6:$V$4790,'Diags Raw Data'!$D$6:$D$4790,$A21,'Diags Raw Data'!$M$6:$M$4790,"New")+SUMIFS('Diags Raw Data'!$V$6:$V$4790,'Diags Raw Data'!$D$6:$D$4790,$A21,'Diags Raw Data'!$M$6:$M$4790,"Delta")</f>
        <v>0</v>
      </c>
      <c r="K21" s="227">
        <f>SUMIFS('Diags Raw Data'!$W$6:$W$4790,'Diags Raw Data'!$D$6:$D$4790,$A21,'Diags Raw Data'!$M$6:$M$4790,"New")+SUMIFS('Diags Raw Data'!$W$6:$W$4790,'Diags Raw Data'!$D$6:$D$4790,$A21,'Diags Raw Data'!$M$6:$M$4790,"Delta")</f>
        <v>0</v>
      </c>
      <c r="L21" s="244" t="str">
        <f t="shared" si="10"/>
        <v>---</v>
      </c>
      <c r="M21" s="229" t="str">
        <f t="shared" ref="M21:M28" si="14">IF(NOT($G21=0), (H21+I21)/$G21, "---")</f>
        <v>---</v>
      </c>
      <c r="N21" s="238" t="str">
        <f>IF(NOT($C21=0), (H21+I21)/$C21, "---")</f>
        <v>---</v>
      </c>
      <c r="O21" s="214">
        <f>SUMIFS('Diags Raw Data'!$Z$6:$Z$4790,'Diags Raw Data'!$D$6:$D$4790,$A21,'Diags Raw Data'!$M$6:$M$4790,"New")+SUMIFS('Diags Raw Data'!$Z$6:$Z$4790,'Diags Raw Data'!$D$6:$D$4790,$A21,'Diags Raw Data'!$M$6:$M$4790,"Delta")</f>
        <v>0</v>
      </c>
      <c r="P21" s="204">
        <f>SUMIFS('Diags Raw Data'!$AA$6:$AA$4790,'Diags Raw Data'!$D$6:$D$4790,$A21,'Diags Raw Data'!$M$6:$M$4790,"New")+SUMIFS('Diags Raw Data'!$AA$6:$AA$4790,'Diags Raw Data'!$D$6:$D$4790,$A21,'Diags Raw Data'!$M$6:$M$4790,"Delta")</f>
        <v>0</v>
      </c>
      <c r="Q21" s="204">
        <f>SUMIFS('Diags Raw Data'!$AB$6:$AB$4790,'Diags Raw Data'!$D$6:$D$4790,$A21,'Diags Raw Data'!$M$6:$M$4790,"New")+SUMIFS('Diags Raw Data'!$AB$6:$AB$4790,'Diags Raw Data'!$D$6:$D$4790,$A21,'Diags Raw Data'!$M$6:$M$4790,"Delta")</f>
        <v>0</v>
      </c>
      <c r="R21" s="204">
        <f>SUMIFS('Diags Raw Data'!$AC$6:$AC$4790,'Diags Raw Data'!$D$6:$D$4790,$A21,'Diags Raw Data'!$M$6:$M$4790,"New")+SUMIFS('Diags Raw Data'!$AC$6:$AC$4790,'Diags Raw Data'!$D$6:$D$4790,$A21,'Diags Raw Data'!$M$6:$M$4790,"Delta")</f>
        <v>0</v>
      </c>
      <c r="S21" s="204">
        <f>SUMIFS('Diags Raw Data'!$AD$6:$AD$4790,'Diags Raw Data'!$D$6:$D$4790,$A21,'Diags Raw Data'!$M$6:$M$4790,"New")+SUMIFS('Diags Raw Data'!$AD$6:$AD$4790,'Diags Raw Data'!$D$6:$D$4790,$A21,'Diags Raw Data'!$M$6:$M$4790,"Delta")</f>
        <v>0</v>
      </c>
      <c r="T21" s="205" t="str">
        <f t="shared" si="12"/>
        <v>---</v>
      </c>
      <c r="U21" s="230" t="str">
        <f t="shared" si="13"/>
        <v>---</v>
      </c>
      <c r="V21" s="232" t="str">
        <f>IF(NOT($B21=0), (P21+Q21)/$B21, "---")</f>
        <v>---</v>
      </c>
    </row>
    <row r="22" spans="1:22" x14ac:dyDescent="0.25">
      <c r="A22" s="333" t="s">
        <v>949</v>
      </c>
      <c r="B22" s="253">
        <f>SUMIFS('Diags Raw Data'!$L$6:$L$4790,'Diags Raw Data'!$D$6:$D$4790,$A22,'Diags Raw Data'!$M$6:$M$4790,"New")+SUMIFS('Diags Raw Data'!$L$6:$L$4790,'Diags Raw Data'!$D$6:$D$4790,$A22,'Diags Raw Data'!$M$6:$M$4790,"Delta")</f>
        <v>0</v>
      </c>
      <c r="C22" s="243">
        <f>SUMIFS('Diags Raw Data'!$R$6:$R$4790,'Diags Raw Data'!$D$6:$D$4790,$A22,'Diags Raw Data'!$M$6:$M$4790,"New")+SUMIFS('Diags Raw Data'!$R$6:$R$4790,'Diags Raw Data'!$D$6:$D$4790,$A22,'Diags Raw Data'!$M$6:$M$4790,"Delta")</f>
        <v>0</v>
      </c>
      <c r="D22" s="243">
        <f>SUMIFS('Diags Raw Data'!$K$6:$K$4790,'Diags Raw Data'!$D$6:$D$4790,$A22,'Diags Raw Data'!$M$6:$M$4790,"New")+SUMIFS('Diags Raw Data'!$K$6:$K$4790,'Diags Raw Data'!$D$6:$D$4790,$A22,'Diags Raw Data'!$M$6:$M$4790,"Delta")</f>
        <v>0</v>
      </c>
      <c r="E22" s="243">
        <f>SUMIFS('Diags Raw Data'!$O$6:$O$4790,'Diags Raw Data'!$D$6:$D$4790,$A22,'Diags Raw Data'!$M$6:$M$4790,"New")+SUMIFS('Diags Raw Data'!$O$6:$O$4790,'Diags Raw Data'!$D$6:$D$4790,$A22,'Diags Raw Data'!$M$6:$M$4790,"Delta")</f>
        <v>0</v>
      </c>
      <c r="F22" s="249" t="str">
        <f>IF(NOT($B22=0), E22/$B22, "---")</f>
        <v>---</v>
      </c>
      <c r="G22" s="231">
        <f>SUMIFS('Diags Raw Data'!$S$6:$S$4790,'Diags Raw Data'!$D$6:$D$4790,$A22,'Diags Raw Data'!$M$6:$M$4790,"New")+SUMIFS('Diags Raw Data'!$S$6:$S$4790,'Diags Raw Data'!$D$6:$D$4790,$A22,'Diags Raw Data'!$M$6:$M$4790,"Delta")</f>
        <v>0</v>
      </c>
      <c r="H22" s="227">
        <f>SUMIFS('Diags Raw Data'!$T$6:$T$4790,'Diags Raw Data'!$D$6:$D$4790,$A22,'Diags Raw Data'!$M$6:$M$4790,"New")+SUMIFS('Diags Raw Data'!$T$6:$T$4790,'Diags Raw Data'!$D$6:$D$4790,$A22,'Diags Raw Data'!$M$6:$M$4790,"Delta")</f>
        <v>0</v>
      </c>
      <c r="I22" s="227">
        <f>SUMIFS('Diags Raw Data'!$U$6:$U$4790,'Diags Raw Data'!$D$6:$D$4790,$A22,'Diags Raw Data'!$M$6:$M$4790,"New")+SUMIFS('Diags Raw Data'!$U$6:$U$4790,'Diags Raw Data'!$D$6:$D$4790,$A22,'Diags Raw Data'!$M$6:$M$4790,"Delta")</f>
        <v>0</v>
      </c>
      <c r="J22" s="227">
        <f>SUMIFS('Diags Raw Data'!$V$6:$V$4790,'Diags Raw Data'!$D$6:$D$4790,$A22,'Diags Raw Data'!$M$6:$M$4790,"New")+SUMIFS('Diags Raw Data'!$V$6:$V$4790,'Diags Raw Data'!$D$6:$D$4790,$A22,'Diags Raw Data'!$M$6:$M$4790,"Delta")</f>
        <v>0</v>
      </c>
      <c r="K22" s="227">
        <f>SUMIFS('Diags Raw Data'!$W$6:$W$4790,'Diags Raw Data'!$D$6:$D$4790,$A22,'Diags Raw Data'!$M$6:$M$4790,"New")+SUMIFS('Diags Raw Data'!$W$6:$W$4790,'Diags Raw Data'!$D$6:$D$4790,$A22,'Diags Raw Data'!$M$6:$M$4790,"Delta")</f>
        <v>0</v>
      </c>
      <c r="L22" s="244" t="str">
        <f t="shared" si="10"/>
        <v>---</v>
      </c>
      <c r="M22" s="229" t="str">
        <f t="shared" si="14"/>
        <v>---</v>
      </c>
      <c r="N22" s="238" t="str">
        <f t="shared" si="11"/>
        <v>---</v>
      </c>
      <c r="O22" s="214">
        <f>SUMIFS('Diags Raw Data'!$Z$6:$Z$4790,'Diags Raw Data'!$D$6:$D$4790,$A22,'Diags Raw Data'!$M$6:$M$4790,"New")+SUMIFS('Diags Raw Data'!$Z$6:$Z$4790,'Diags Raw Data'!$D$6:$D$4790,$A22,'Diags Raw Data'!$M$6:$M$4790,"Delta")</f>
        <v>0</v>
      </c>
      <c r="P22" s="204">
        <f>SUMIFS('Diags Raw Data'!$AA$6:$AA$4790,'Diags Raw Data'!$D$6:$D$4790,$A22,'Diags Raw Data'!$M$6:$M$4790,"New")+SUMIFS('Diags Raw Data'!$AA$6:$AA$4790,'Diags Raw Data'!$D$6:$D$4790,$A22,'Diags Raw Data'!$M$6:$M$4790,"Delta")</f>
        <v>0</v>
      </c>
      <c r="Q22" s="204">
        <f>SUMIFS('Diags Raw Data'!$AB$6:$AB$4790,'Diags Raw Data'!$D$6:$D$4790,$A22,'Diags Raw Data'!$M$6:$M$4790,"New")+SUMIFS('Diags Raw Data'!$AB$6:$AB$4790,'Diags Raw Data'!$D$6:$D$4790,$A22,'Diags Raw Data'!$M$6:$M$4790,"Delta")</f>
        <v>0</v>
      </c>
      <c r="R22" s="204">
        <f>SUMIFS('Diags Raw Data'!$AC$6:$AC$4790,'Diags Raw Data'!$D$6:$D$4790,$A22,'Diags Raw Data'!$M$6:$M$4790,"New")+SUMIFS('Diags Raw Data'!$AC$6:$AC$4790,'Diags Raw Data'!$D$6:$D$4790,$A22,'Diags Raw Data'!$M$6:$M$4790,"Delta")</f>
        <v>0</v>
      </c>
      <c r="S22" s="204">
        <f>SUMIFS('Diags Raw Data'!$AD$6:$AD$4790,'Diags Raw Data'!$D$6:$D$4790,$A22,'Diags Raw Data'!$M$6:$M$4790,"New")+SUMIFS('Diags Raw Data'!$AD$6:$AD$4790,'Diags Raw Data'!$D$6:$D$4790,$A22,'Diags Raw Data'!$M$6:$M$4790,"Delta")</f>
        <v>0</v>
      </c>
      <c r="T22" s="205" t="str">
        <f t="shared" si="12"/>
        <v>---</v>
      </c>
      <c r="U22" s="230" t="str">
        <f t="shared" si="13"/>
        <v>---</v>
      </c>
      <c r="V22" s="232" t="str">
        <f t="shared" si="9"/>
        <v>---</v>
      </c>
    </row>
    <row r="23" spans="1:22" x14ac:dyDescent="0.25">
      <c r="A23" s="333" t="s">
        <v>950</v>
      </c>
      <c r="B23" s="253">
        <f>SUMIFS('Diags Raw Data'!$L$6:$L$4790,'Diags Raw Data'!$D$6:$D$4790,$A23,'Diags Raw Data'!$M$6:$M$4790,"New")+SUMIFS('Diags Raw Data'!$L$6:$L$4790,'Diags Raw Data'!$D$6:$D$4790,$A23,'Diags Raw Data'!$M$6:$M$4790,"Delta")</f>
        <v>0</v>
      </c>
      <c r="C23" s="243">
        <f>SUMIFS('Diags Raw Data'!$R$6:$R$4790,'Diags Raw Data'!$D$6:$D$4790,$A23,'Diags Raw Data'!$M$6:$M$4790,"New")+SUMIFS('Diags Raw Data'!$R$6:$R$4790,'Diags Raw Data'!$D$6:$D$4790,$A23,'Diags Raw Data'!$M$6:$M$4790,"Delta")</f>
        <v>0</v>
      </c>
      <c r="D23" s="243">
        <f>SUMIFS('Diags Raw Data'!$K$6:$K$4790,'Diags Raw Data'!$D$6:$D$4790,$A23,'Diags Raw Data'!$M$6:$M$4790,"New")+SUMIFS('Diags Raw Data'!$K$6:$K$4790,'Diags Raw Data'!$D$6:$D$4790,$A23,'Diags Raw Data'!$M$6:$M$4790,"Delta")</f>
        <v>0</v>
      </c>
      <c r="E23" s="243">
        <f>SUMIFS('Diags Raw Data'!$O$6:$O$4790,'Diags Raw Data'!$D$6:$D$4790,$A23,'Diags Raw Data'!$M$6:$M$4790,"New")+SUMIFS('Diags Raw Data'!$O$6:$O$4790,'Diags Raw Data'!$D$6:$D$4790,$A23,'Diags Raw Data'!$M$6:$M$4790,"Delta")</f>
        <v>0</v>
      </c>
      <c r="F23" s="249" t="str">
        <f t="shared" si="8"/>
        <v>---</v>
      </c>
      <c r="G23" s="231">
        <f>SUMIFS('Diags Raw Data'!$S$6:$S$4790,'Diags Raw Data'!$D$6:$D$4790,$A23,'Diags Raw Data'!$M$6:$M$4790,"New")+SUMIFS('Diags Raw Data'!$S$6:$S$4790,'Diags Raw Data'!$D$6:$D$4790,$A23,'Diags Raw Data'!$M$6:$M$4790,"Delta")</f>
        <v>0</v>
      </c>
      <c r="H23" s="227">
        <f>SUMIFS('Diags Raw Data'!$T$6:$T$4790,'Diags Raw Data'!$D$6:$D$4790,$A23,'Diags Raw Data'!$M$6:$M$4790,"New")+SUMIFS('Diags Raw Data'!$T$6:$T$4790,'Diags Raw Data'!$D$6:$D$4790,$A23,'Diags Raw Data'!$M$6:$M$4790,"Delta")</f>
        <v>0</v>
      </c>
      <c r="I23" s="227">
        <f>SUMIFS('Diags Raw Data'!$U$6:$U$4790,'Diags Raw Data'!$D$6:$D$4790,$A23,'Diags Raw Data'!$M$6:$M$4790,"New")+SUMIFS('Diags Raw Data'!$U$6:$U$4790,'Diags Raw Data'!$D$6:$D$4790,$A23,'Diags Raw Data'!$M$6:$M$4790,"Delta")</f>
        <v>0</v>
      </c>
      <c r="J23" s="227">
        <f>SUMIFS('Diags Raw Data'!$V$6:$V$4790,'Diags Raw Data'!$D$6:$D$4790,$A23,'Diags Raw Data'!$M$6:$M$4790,"New")+SUMIFS('Diags Raw Data'!$V$6:$V$4790,'Diags Raw Data'!$D$6:$D$4790,$A23,'Diags Raw Data'!$M$6:$M$4790,"Delta")</f>
        <v>0</v>
      </c>
      <c r="K23" s="227">
        <f>SUMIFS('Diags Raw Data'!$W$6:$W$4790,'Diags Raw Data'!$D$6:$D$4790,$A23,'Diags Raw Data'!$M$6:$M$4790,"New")+SUMIFS('Diags Raw Data'!$W$6:$W$4790,'Diags Raw Data'!$D$6:$D$4790,$A23,'Diags Raw Data'!$M$6:$M$4790,"Delta")</f>
        <v>0</v>
      </c>
      <c r="L23" s="244" t="str">
        <f t="shared" si="10"/>
        <v>---</v>
      </c>
      <c r="M23" s="229" t="str">
        <f t="shared" si="14"/>
        <v>---</v>
      </c>
      <c r="N23" s="238" t="str">
        <f t="shared" si="11"/>
        <v>---</v>
      </c>
      <c r="O23" s="214">
        <f>SUMIFS('Diags Raw Data'!$Z$6:$Z$4790,'Diags Raw Data'!$D$6:$D$4790,$A23,'Diags Raw Data'!$M$6:$M$4790,"New")+SUMIFS('Diags Raw Data'!$Z$6:$Z$4790,'Diags Raw Data'!$D$6:$D$4790,$A23,'Diags Raw Data'!$M$6:$M$4790,"Delta")</f>
        <v>0</v>
      </c>
      <c r="P23" s="204">
        <f>SUMIFS('Diags Raw Data'!$AA$6:$AA$4790,'Diags Raw Data'!$D$6:$D$4790,$A23,'Diags Raw Data'!$M$6:$M$4790,"New")+SUMIFS('Diags Raw Data'!$AA$6:$AA$4790,'Diags Raw Data'!$D$6:$D$4790,$A23,'Diags Raw Data'!$M$6:$M$4790,"Delta")</f>
        <v>0</v>
      </c>
      <c r="Q23" s="204">
        <f>SUMIFS('Diags Raw Data'!$AB$6:$AB$4790,'Diags Raw Data'!$D$6:$D$4790,$A23,'Diags Raw Data'!$M$6:$M$4790,"New")+SUMIFS('Diags Raw Data'!$AB$6:$AB$4790,'Diags Raw Data'!$D$6:$D$4790,$A23,'Diags Raw Data'!$M$6:$M$4790,"Delta")</f>
        <v>0</v>
      </c>
      <c r="R23" s="204">
        <f>SUMIFS('Diags Raw Data'!$AC$6:$AC$4790,'Diags Raw Data'!$D$6:$D$4790,$A23,'Diags Raw Data'!$M$6:$M$4790,"New")+SUMIFS('Diags Raw Data'!$AC$6:$AC$4790,'Diags Raw Data'!$D$6:$D$4790,$A23,'Diags Raw Data'!$M$6:$M$4790,"Delta")</f>
        <v>0</v>
      </c>
      <c r="S23" s="204">
        <f>SUMIFS('Diags Raw Data'!$AD$6:$AD$4790,'Diags Raw Data'!$D$6:$D$4790,$A23,'Diags Raw Data'!$M$6:$M$4790,"New")+SUMIFS('Diags Raw Data'!$AD$6:$AD$4790,'Diags Raw Data'!$D$6:$D$4790,$A23,'Diags Raw Data'!$M$6:$M$4790,"Delta")</f>
        <v>0</v>
      </c>
      <c r="T23" s="205" t="str">
        <f t="shared" si="12"/>
        <v>---</v>
      </c>
      <c r="U23" s="230" t="str">
        <f t="shared" si="13"/>
        <v>---</v>
      </c>
      <c r="V23" s="232" t="str">
        <f t="shared" si="9"/>
        <v>---</v>
      </c>
    </row>
    <row r="24" spans="1:22" x14ac:dyDescent="0.25">
      <c r="A24" s="333" t="s">
        <v>951</v>
      </c>
      <c r="B24" s="253">
        <f>SUMIFS('Diags Raw Data'!$L$6:$L$4790,'Diags Raw Data'!$D$6:$D$4790,$A24,'Diags Raw Data'!$M$6:$M$4790,"New")+SUMIFS('Diags Raw Data'!$L$6:$L$4790,'Diags Raw Data'!$D$6:$D$4790,$A24,'Diags Raw Data'!$M$6:$M$4790,"Delta")</f>
        <v>0</v>
      </c>
      <c r="C24" s="243">
        <f>SUMIFS('Diags Raw Data'!$R$6:$R$4790,'Diags Raw Data'!$D$6:$D$4790,$A24,'Diags Raw Data'!$M$6:$M$4790,"New")+SUMIFS('Diags Raw Data'!$R$6:$R$4790,'Diags Raw Data'!$D$6:$D$4790,$A24,'Diags Raw Data'!$M$6:$M$4790,"Delta")</f>
        <v>0</v>
      </c>
      <c r="D24" s="243">
        <f>SUMIFS('Diags Raw Data'!$K$6:$K$4790,'Diags Raw Data'!$D$6:$D$4790,$A24,'Diags Raw Data'!$M$6:$M$4790,"New")+SUMIFS('Diags Raw Data'!$K$6:$K$4790,'Diags Raw Data'!$D$6:$D$4790,$A24,'Diags Raw Data'!$M$6:$M$4790,"Delta")</f>
        <v>0</v>
      </c>
      <c r="E24" s="243">
        <f>SUMIFS('Diags Raw Data'!$O$6:$O$4790,'Diags Raw Data'!$D$6:$D$4790,$A24,'Diags Raw Data'!$M$6:$M$4790,"New")+SUMIFS('Diags Raw Data'!$O$6:$O$4790,'Diags Raw Data'!$D$6:$D$4790,$A24,'Diags Raw Data'!$M$6:$M$4790,"Delta")</f>
        <v>0</v>
      </c>
      <c r="F24" s="249" t="str">
        <f t="shared" si="8"/>
        <v>---</v>
      </c>
      <c r="G24" s="231">
        <f>SUMIFS('Diags Raw Data'!$S$6:$S$4790,'Diags Raw Data'!$D$6:$D$4790,$A24,'Diags Raw Data'!$M$6:$M$4790,"New")+SUMIFS('Diags Raw Data'!$S$6:$S$4790,'Diags Raw Data'!$D$6:$D$4790,$A24,'Diags Raw Data'!$M$6:$M$4790,"Delta")</f>
        <v>0</v>
      </c>
      <c r="H24" s="227">
        <f>SUMIFS('Diags Raw Data'!$T$6:$T$4790,'Diags Raw Data'!$D$6:$D$4790,$A24,'Diags Raw Data'!$M$6:$M$4790,"New")+SUMIFS('Diags Raw Data'!$T$6:$T$4790,'Diags Raw Data'!$D$6:$D$4790,$A24,'Diags Raw Data'!$M$6:$M$4790,"Delta")</f>
        <v>0</v>
      </c>
      <c r="I24" s="227">
        <f>SUMIFS('Diags Raw Data'!$U$6:$U$4790,'Diags Raw Data'!$D$6:$D$4790,$A24,'Diags Raw Data'!$M$6:$M$4790,"New")+SUMIFS('Diags Raw Data'!$U$6:$U$4790,'Diags Raw Data'!$D$6:$D$4790,$A24,'Diags Raw Data'!$M$6:$M$4790,"Delta")</f>
        <v>0</v>
      </c>
      <c r="J24" s="227">
        <f>SUMIFS('Diags Raw Data'!$V$6:$V$4790,'Diags Raw Data'!$D$6:$D$4790,$A24,'Diags Raw Data'!$M$6:$M$4790,"New")+SUMIFS('Diags Raw Data'!$V$6:$V$4790,'Diags Raw Data'!$D$6:$D$4790,$A24,'Diags Raw Data'!$M$6:$M$4790,"Delta")</f>
        <v>0</v>
      </c>
      <c r="K24" s="227">
        <f>SUMIFS('Diags Raw Data'!$W$6:$W$4790,'Diags Raw Data'!$D$6:$D$4790,$A24,'Diags Raw Data'!$M$6:$M$4790,"New")+SUMIFS('Diags Raw Data'!$W$6:$W$4790,'Diags Raw Data'!$D$6:$D$4790,$A24,'Diags Raw Data'!$M$6:$M$4790,"Delta")</f>
        <v>0</v>
      </c>
      <c r="L24" s="244" t="str">
        <f t="shared" si="10"/>
        <v>---</v>
      </c>
      <c r="M24" s="229" t="str">
        <f t="shared" si="14"/>
        <v>---</v>
      </c>
      <c r="N24" s="238" t="str">
        <f t="shared" si="11"/>
        <v>---</v>
      </c>
      <c r="O24" s="214">
        <f>SUMIFS('Diags Raw Data'!$Z$6:$Z$4790,'Diags Raw Data'!$D$6:$D$4790,$A24,'Diags Raw Data'!$M$6:$M$4790,"New")+SUMIFS('Diags Raw Data'!$Z$6:$Z$4790,'Diags Raw Data'!$D$6:$D$4790,$A24,'Diags Raw Data'!$M$6:$M$4790,"Delta")</f>
        <v>0</v>
      </c>
      <c r="P24" s="204">
        <f>SUMIFS('Diags Raw Data'!$AA$6:$AA$4790,'Diags Raw Data'!$D$6:$D$4790,$A24,'Diags Raw Data'!$M$6:$M$4790,"New")+SUMIFS('Diags Raw Data'!$AA$6:$AA$4790,'Diags Raw Data'!$D$6:$D$4790,$A24,'Diags Raw Data'!$M$6:$M$4790,"Delta")</f>
        <v>0</v>
      </c>
      <c r="Q24" s="204">
        <f>SUMIFS('Diags Raw Data'!$AB$6:$AB$4790,'Diags Raw Data'!$D$6:$D$4790,$A24,'Diags Raw Data'!$M$6:$M$4790,"New")+SUMIFS('Diags Raw Data'!$AB$6:$AB$4790,'Diags Raw Data'!$D$6:$D$4790,$A24,'Diags Raw Data'!$M$6:$M$4790,"Delta")</f>
        <v>0</v>
      </c>
      <c r="R24" s="204">
        <f>SUMIFS('Diags Raw Data'!$AC$6:$AC$4790,'Diags Raw Data'!$D$6:$D$4790,$A24,'Diags Raw Data'!$M$6:$M$4790,"New")+SUMIFS('Diags Raw Data'!$AC$6:$AC$4790,'Diags Raw Data'!$D$6:$D$4790,$A24,'Diags Raw Data'!$M$6:$M$4790,"Delta")</f>
        <v>0</v>
      </c>
      <c r="S24" s="204">
        <f>SUMIFS('Diags Raw Data'!$AD$6:$AD$4790,'Diags Raw Data'!$D$6:$D$4790,$A24,'Diags Raw Data'!$M$6:$M$4790,"New")+SUMIFS('Diags Raw Data'!$AD$6:$AD$4790,'Diags Raw Data'!$D$6:$D$4790,$A24,'Diags Raw Data'!$M$6:$M$4790,"Delta")</f>
        <v>0</v>
      </c>
      <c r="T24" s="205" t="str">
        <f t="shared" si="12"/>
        <v>---</v>
      </c>
      <c r="U24" s="230" t="str">
        <f t="shared" si="13"/>
        <v>---</v>
      </c>
      <c r="V24" s="232" t="str">
        <f t="shared" si="9"/>
        <v>---</v>
      </c>
    </row>
    <row r="25" spans="1:22" x14ac:dyDescent="0.25">
      <c r="A25" s="333" t="s">
        <v>952</v>
      </c>
      <c r="B25" s="253">
        <f>SUMIFS('Diags Raw Data'!$L$6:$L$4790,'Diags Raw Data'!$D$6:$D$4790,$A25,'Diags Raw Data'!$M$6:$M$4790,"New")+SUMIFS('Diags Raw Data'!$L$6:$L$4790,'Diags Raw Data'!$D$6:$D$4790,$A25,'Diags Raw Data'!$M$6:$M$4790,"Delta")</f>
        <v>0</v>
      </c>
      <c r="C25" s="243">
        <f>SUMIFS('Diags Raw Data'!$R$6:$R$4790,'Diags Raw Data'!$D$6:$D$4790,$A25,'Diags Raw Data'!$M$6:$M$4790,"New")+SUMIFS('Diags Raw Data'!$R$6:$R$4790,'Diags Raw Data'!$D$6:$D$4790,$A25,'Diags Raw Data'!$M$6:$M$4790,"Delta")</f>
        <v>0</v>
      </c>
      <c r="D25" s="243">
        <f>SUMIFS('Diags Raw Data'!$K$6:$K$4790,'Diags Raw Data'!$D$6:$D$4790,$A25,'Diags Raw Data'!$M$6:$M$4790,"New")+SUMIFS('Diags Raw Data'!$K$6:$K$4790,'Diags Raw Data'!$D$6:$D$4790,$A25,'Diags Raw Data'!$M$6:$M$4790,"Delta")</f>
        <v>0</v>
      </c>
      <c r="E25" s="243">
        <f>SUMIFS('Diags Raw Data'!$O$6:$O$4790,'Diags Raw Data'!$D$6:$D$4790,$A25,'Diags Raw Data'!$M$6:$M$4790,"New")+SUMIFS('Diags Raw Data'!$O$6:$O$4790,'Diags Raw Data'!$D$6:$D$4790,$A25,'Diags Raw Data'!$M$6:$M$4790,"Delta")</f>
        <v>0</v>
      </c>
      <c r="F25" s="249" t="str">
        <f t="shared" si="8"/>
        <v>---</v>
      </c>
      <c r="G25" s="231">
        <f>SUMIFS('Diags Raw Data'!$S$6:$S$4790,'Diags Raw Data'!$D$6:$D$4790,$A25,'Diags Raw Data'!$M$6:$M$4790,"New")+SUMIFS('Diags Raw Data'!$S$6:$S$4790,'Diags Raw Data'!$D$6:$D$4790,$A25,'Diags Raw Data'!$M$6:$M$4790,"Delta")</f>
        <v>0</v>
      </c>
      <c r="H25" s="227">
        <f>SUMIFS('Diags Raw Data'!$T$6:$T$4790,'Diags Raw Data'!$D$6:$D$4790,$A25,'Diags Raw Data'!$M$6:$M$4790,"New")+SUMIFS('Diags Raw Data'!$T$6:$T$4790,'Diags Raw Data'!$D$6:$D$4790,$A25,'Diags Raw Data'!$M$6:$M$4790,"Delta")</f>
        <v>0</v>
      </c>
      <c r="I25" s="227">
        <f>SUMIFS('Diags Raw Data'!$U$6:$U$4790,'Diags Raw Data'!$D$6:$D$4790,$A25,'Diags Raw Data'!$M$6:$M$4790,"New")+SUMIFS('Diags Raw Data'!$U$6:$U$4790,'Diags Raw Data'!$D$6:$D$4790,$A25,'Diags Raw Data'!$M$6:$M$4790,"Delta")</f>
        <v>0</v>
      </c>
      <c r="J25" s="227">
        <f>SUMIFS('Diags Raw Data'!$V$6:$V$4790,'Diags Raw Data'!$D$6:$D$4790,$A25,'Diags Raw Data'!$M$6:$M$4790,"New")+SUMIFS('Diags Raw Data'!$V$6:$V$4790,'Diags Raw Data'!$D$6:$D$4790,$A25,'Diags Raw Data'!$M$6:$M$4790,"Delta")</f>
        <v>0</v>
      </c>
      <c r="K25" s="227">
        <f>SUMIFS('Diags Raw Data'!$W$6:$W$4790,'Diags Raw Data'!$D$6:$D$4790,$A25,'Diags Raw Data'!$M$6:$M$4790,"New")+SUMIFS('Diags Raw Data'!$W$6:$W$4790,'Diags Raw Data'!$D$6:$D$4790,$A25,'Diags Raw Data'!$M$6:$M$4790,"Delta")</f>
        <v>0</v>
      </c>
      <c r="L25" s="244" t="str">
        <f t="shared" si="10"/>
        <v>---</v>
      </c>
      <c r="M25" s="229" t="str">
        <f>IF(NOT($G25=0), (H25+I25)/$G25, "---")</f>
        <v>---</v>
      </c>
      <c r="N25" s="238" t="str">
        <f t="shared" si="11"/>
        <v>---</v>
      </c>
      <c r="O25" s="214">
        <f>SUMIFS('Diags Raw Data'!$Z$6:$Z$4790,'Diags Raw Data'!$D$6:$D$4790,$A25,'Diags Raw Data'!$M$6:$M$4790,"New")+SUMIFS('Diags Raw Data'!$Z$6:$Z$4790,'Diags Raw Data'!$D$6:$D$4790,$A25,'Diags Raw Data'!$M$6:$M$4790,"Delta")</f>
        <v>0</v>
      </c>
      <c r="P25" s="204">
        <f>SUMIFS('Diags Raw Data'!$AA$6:$AA$4790,'Diags Raw Data'!$D$6:$D$4790,$A25,'Diags Raw Data'!$M$6:$M$4790,"New")+SUMIFS('Diags Raw Data'!$AA$6:$AA$4790,'Diags Raw Data'!$D$6:$D$4790,$A25,'Diags Raw Data'!$M$6:$M$4790,"Delta")</f>
        <v>0</v>
      </c>
      <c r="Q25" s="204">
        <f>SUMIFS('Diags Raw Data'!$AB$6:$AB$4790,'Diags Raw Data'!$D$6:$D$4790,$A25,'Diags Raw Data'!$M$6:$M$4790,"New")+SUMIFS('Diags Raw Data'!$AB$6:$AB$4790,'Diags Raw Data'!$D$6:$D$4790,$A25,'Diags Raw Data'!$M$6:$M$4790,"Delta")</f>
        <v>0</v>
      </c>
      <c r="R25" s="204">
        <f>SUMIFS('Diags Raw Data'!$AC$6:$AC$4790,'Diags Raw Data'!$D$6:$D$4790,$A25,'Diags Raw Data'!$M$6:$M$4790,"New")+SUMIFS('Diags Raw Data'!$AC$6:$AC$4790,'Diags Raw Data'!$D$6:$D$4790,$A25,'Diags Raw Data'!$M$6:$M$4790,"Delta")</f>
        <v>0</v>
      </c>
      <c r="S25" s="204">
        <f>SUMIFS('Diags Raw Data'!$AD$6:$AD$4790,'Diags Raw Data'!$D$6:$D$4790,$A25,'Diags Raw Data'!$M$6:$M$4790,"New")+SUMIFS('Diags Raw Data'!$AD$6:$AD$4790,'Diags Raw Data'!$D$6:$D$4790,$A25,'Diags Raw Data'!$M$6:$M$4790,"Delta")</f>
        <v>0</v>
      </c>
      <c r="T25" s="205" t="str">
        <f t="shared" si="12"/>
        <v>---</v>
      </c>
      <c r="U25" s="230" t="str">
        <f t="shared" si="13"/>
        <v>---</v>
      </c>
      <c r="V25" s="232" t="str">
        <f t="shared" si="9"/>
        <v>---</v>
      </c>
    </row>
    <row r="26" spans="1:22" x14ac:dyDescent="0.25">
      <c r="A26" s="333" t="s">
        <v>953</v>
      </c>
      <c r="B26" s="253">
        <f>SUMIFS('Diags Raw Data'!$L$6:$L$4790,'Diags Raw Data'!$D$6:$D$4790,$A26,'Diags Raw Data'!$M$6:$M$4790,"New")+SUMIFS('Diags Raw Data'!$L$6:$L$4790,'Diags Raw Data'!$D$6:$D$4790,$A26,'Diags Raw Data'!$M$6:$M$4790,"Delta")</f>
        <v>0</v>
      </c>
      <c r="C26" s="243">
        <f>SUMIFS('Diags Raw Data'!$R$6:$R$4790,'Diags Raw Data'!$D$6:$D$4790,$A26,'Diags Raw Data'!$M$6:$M$4790,"New")+SUMIFS('Diags Raw Data'!$R$6:$R$4790,'Diags Raw Data'!$D$6:$D$4790,$A26,'Diags Raw Data'!$M$6:$M$4790,"Delta")</f>
        <v>0</v>
      </c>
      <c r="D26" s="243">
        <f>SUMIFS('Diags Raw Data'!$K$6:$K$4790,'Diags Raw Data'!$D$6:$D$4790,$A26,'Diags Raw Data'!$M$6:$M$4790,"New")+SUMIFS('Diags Raw Data'!$K$6:$K$4790,'Diags Raw Data'!$D$6:$D$4790,$A26,'Diags Raw Data'!$M$6:$M$4790,"Delta")</f>
        <v>0</v>
      </c>
      <c r="E26" s="243">
        <f>SUMIFS('Diags Raw Data'!$O$6:$O$4790,'Diags Raw Data'!$D$6:$D$4790,$A26,'Diags Raw Data'!$M$6:$M$4790,"New")+SUMIFS('Diags Raw Data'!$O$6:$O$4790,'Diags Raw Data'!$D$6:$D$4790,$A26,'Diags Raw Data'!$M$6:$M$4790,"Delta")</f>
        <v>0</v>
      </c>
      <c r="F26" s="249" t="str">
        <f t="shared" si="8"/>
        <v>---</v>
      </c>
      <c r="G26" s="231">
        <f>SUMIFS('Diags Raw Data'!$S$6:$S$4790,'Diags Raw Data'!$D$6:$D$4790,$A26,'Diags Raw Data'!$M$6:$M$4790,"New")+SUMIFS('Diags Raw Data'!$S$6:$S$4790,'Diags Raw Data'!$D$6:$D$4790,$A26,'Diags Raw Data'!$M$6:$M$4790,"Delta")</f>
        <v>0</v>
      </c>
      <c r="H26" s="227">
        <f>SUMIFS('Diags Raw Data'!$T$6:$T$4790,'Diags Raw Data'!$D$6:$D$4790,$A26,'Diags Raw Data'!$M$6:$M$4790,"New")+SUMIFS('Diags Raw Data'!$T$6:$T$4790,'Diags Raw Data'!$D$6:$D$4790,$A26,'Diags Raw Data'!$M$6:$M$4790,"Delta")</f>
        <v>0</v>
      </c>
      <c r="I26" s="227">
        <f>SUMIFS('Diags Raw Data'!$U$6:$U$4790,'Diags Raw Data'!$D$6:$D$4790,$A26,'Diags Raw Data'!$M$6:$M$4790,"New")+SUMIFS('Diags Raw Data'!$U$6:$U$4790,'Diags Raw Data'!$D$6:$D$4790,$A26,'Diags Raw Data'!$M$6:$M$4790,"Delta")</f>
        <v>0</v>
      </c>
      <c r="J26" s="227">
        <f>SUMIFS('Diags Raw Data'!$V$6:$V$4790,'Diags Raw Data'!$D$6:$D$4790,$A26,'Diags Raw Data'!$M$6:$M$4790,"New")+SUMIFS('Diags Raw Data'!$V$6:$V$4790,'Diags Raw Data'!$D$6:$D$4790,$A26,'Diags Raw Data'!$M$6:$M$4790,"Delta")</f>
        <v>0</v>
      </c>
      <c r="K26" s="227">
        <f>SUMIFS('Diags Raw Data'!$W$6:$W$4790,'Diags Raw Data'!$D$6:$D$4790,$A26,'Diags Raw Data'!$M$6:$M$4790,"New")+SUMIFS('Diags Raw Data'!$W$6:$W$4790,'Diags Raw Data'!$D$6:$D$4790,$A26,'Diags Raw Data'!$M$6:$M$4790,"Delta")</f>
        <v>0</v>
      </c>
      <c r="L26" s="244" t="str">
        <f t="shared" si="10"/>
        <v>---</v>
      </c>
      <c r="M26" s="229" t="str">
        <f t="shared" si="14"/>
        <v>---</v>
      </c>
      <c r="N26" s="238" t="str">
        <f t="shared" si="11"/>
        <v>---</v>
      </c>
      <c r="O26" s="214">
        <f>SUMIFS('Diags Raw Data'!$Z$6:$Z$4790,'Diags Raw Data'!$D$6:$D$4790,$A26,'Diags Raw Data'!$M$6:$M$4790,"New")+SUMIFS('Diags Raw Data'!$Z$6:$Z$4790,'Diags Raw Data'!$D$6:$D$4790,$A26,'Diags Raw Data'!$M$6:$M$4790,"Delta")</f>
        <v>0</v>
      </c>
      <c r="P26" s="204">
        <f>SUMIFS('Diags Raw Data'!$AA$6:$AA$4790,'Diags Raw Data'!$D$6:$D$4790,$A26,'Diags Raw Data'!$M$6:$M$4790,"New")+SUMIFS('Diags Raw Data'!$AA$6:$AA$4790,'Diags Raw Data'!$D$6:$D$4790,$A26,'Diags Raw Data'!$M$6:$M$4790,"Delta")</f>
        <v>0</v>
      </c>
      <c r="Q26" s="204">
        <f>SUMIFS('Diags Raw Data'!$AB$6:$AB$4790,'Diags Raw Data'!$D$6:$D$4790,$A26,'Diags Raw Data'!$M$6:$M$4790,"New")+SUMIFS('Diags Raw Data'!$AB$6:$AB$4790,'Diags Raw Data'!$D$6:$D$4790,$A26,'Diags Raw Data'!$M$6:$M$4790,"Delta")</f>
        <v>0</v>
      </c>
      <c r="R26" s="204">
        <f>SUMIFS('Diags Raw Data'!$AC$6:$AC$4790,'Diags Raw Data'!$D$6:$D$4790,$A26,'Diags Raw Data'!$M$6:$M$4790,"New")+SUMIFS('Diags Raw Data'!$AC$6:$AC$4790,'Diags Raw Data'!$D$6:$D$4790,$A26,'Diags Raw Data'!$M$6:$M$4790,"Delta")</f>
        <v>0</v>
      </c>
      <c r="S26" s="204">
        <f>SUMIFS('Diags Raw Data'!$AD$6:$AD$4790,'Diags Raw Data'!$D$6:$D$4790,$A26,'Diags Raw Data'!$M$6:$M$4790,"New")+SUMIFS('Diags Raw Data'!$AD$6:$AD$4790,'Diags Raw Data'!$D$6:$D$4790,$A26,'Diags Raw Data'!$M$6:$M$4790,"Delta")</f>
        <v>0</v>
      </c>
      <c r="T26" s="205" t="str">
        <f t="shared" si="12"/>
        <v>---</v>
      </c>
      <c r="U26" s="230" t="str">
        <f t="shared" si="13"/>
        <v>---</v>
      </c>
      <c r="V26" s="232" t="str">
        <f t="shared" si="9"/>
        <v>---</v>
      </c>
    </row>
    <row r="27" spans="1:22" ht="15.75" thickBot="1" x14ac:dyDescent="0.3">
      <c r="A27" s="334" t="s">
        <v>954</v>
      </c>
      <c r="B27" s="254">
        <f>SUMIFS('Diags Raw Data'!$L$6:$L$4790,'Diags Raw Data'!$D$6:$D$4790,$A27,'Diags Raw Data'!$M$6:$M$4790,"New")+SUMIFS('Diags Raw Data'!$L$6:$L$4790,'Diags Raw Data'!$D$6:$D$4790,$A27,'Diags Raw Data'!$M$6:$M$4790,"Delta")</f>
        <v>0</v>
      </c>
      <c r="C27" s="245">
        <f>SUMIFS('Diags Raw Data'!$R$6:$R$4790,'Diags Raw Data'!$D$6:$D$4790,$A27,'Diags Raw Data'!$M$6:$M$4790,"New")+SUMIFS('Diags Raw Data'!$R$6:$R$4790,'Diags Raw Data'!$D$6:$D$4790,$A27,'Diags Raw Data'!$M$6:$M$4790,"Delta")</f>
        <v>0</v>
      </c>
      <c r="D27" s="245">
        <f>SUMIFS('Diags Raw Data'!$K$6:$K$4790,'Diags Raw Data'!$D$6:$D$4790,$A27,'Diags Raw Data'!$M$6:$M$4790,"New")+SUMIFS('Diags Raw Data'!$K$6:$K$4790,'Diags Raw Data'!$D$6:$D$4790,$A27,'Diags Raw Data'!$M$6:$M$4790,"Delta")</f>
        <v>0</v>
      </c>
      <c r="E27" s="245">
        <f>SUMIFS('Diags Raw Data'!$O$6:$O$4790,'Diags Raw Data'!$D$6:$D$4790,$A27,'Diags Raw Data'!$M$6:$M$4790,"New")+SUMIFS('Diags Raw Data'!$O$6:$O$4790,'Diags Raw Data'!$D$6:$D$4790,$A27,'Diags Raw Data'!$M$6:$M$4790,"Delta")</f>
        <v>0</v>
      </c>
      <c r="F27" s="250" t="str">
        <f t="shared" si="8"/>
        <v>---</v>
      </c>
      <c r="G27" s="233">
        <f>SUMIFS('Diags Raw Data'!$S$6:$S$4790,'Diags Raw Data'!$D$6:$D$4790,$A27,'Diags Raw Data'!$M$6:$M$4790,"New")+SUMIFS('Diags Raw Data'!$S$6:$S$4790,'Diags Raw Data'!$D$6:$D$4790,$A27,'Diags Raw Data'!$M$6:$M$4790,"Delta")</f>
        <v>0</v>
      </c>
      <c r="H27" s="234">
        <f>SUMIFS('Diags Raw Data'!$T$6:$T$4790,'Diags Raw Data'!$D$6:$D$4790,$A27,'Diags Raw Data'!$M$6:$M$4790,"New")+SUMIFS('Diags Raw Data'!$T$6:$T$4790,'Diags Raw Data'!$D$6:$D$4790,$A27,'Diags Raw Data'!$M$6:$M$4790,"Delta")</f>
        <v>0</v>
      </c>
      <c r="I27" s="234">
        <f>SUMIFS('Diags Raw Data'!$U$6:$U$4790,'Diags Raw Data'!$D$6:$D$4790,$A27,'Diags Raw Data'!$M$6:$M$4790,"New")+SUMIFS('Diags Raw Data'!$U$6:$U$4790,'Diags Raw Data'!$D$6:$D$4790,$A27,'Diags Raw Data'!$M$6:$M$4790,"Delta")</f>
        <v>0</v>
      </c>
      <c r="J27" s="234">
        <f>SUMIFS('Diags Raw Data'!$V$6:$V$4790,'Diags Raw Data'!$D$6:$D$4790,$A27,'Diags Raw Data'!$M$6:$M$4790,"New")+SUMIFS('Diags Raw Data'!$V$6:$V$4790,'Diags Raw Data'!$D$6:$D$4790,$A27,'Diags Raw Data'!$M$6:$M$4790,"Delta")</f>
        <v>0</v>
      </c>
      <c r="K27" s="234">
        <f>SUMIFS('Diags Raw Data'!$W$6:$W$4790,'Diags Raw Data'!$D$6:$D$4790,$A27,'Diags Raw Data'!$M$6:$M$4790,"New")+SUMIFS('Diags Raw Data'!$W$6:$W$4790,'Diags Raw Data'!$D$6:$D$4790,$A27,'Diags Raw Data'!$M$6:$M$4790,"Delta")</f>
        <v>0</v>
      </c>
      <c r="L27" s="246" t="str">
        <f t="shared" si="10"/>
        <v>---</v>
      </c>
      <c r="M27" s="236" t="str">
        <f t="shared" si="14"/>
        <v>---</v>
      </c>
      <c r="N27" s="239" t="str">
        <f t="shared" si="11"/>
        <v>---</v>
      </c>
      <c r="O27" s="215">
        <f>SUMIFS('Diags Raw Data'!$Z$6:$Z$4790,'Diags Raw Data'!$D$6:$D$4790,$A27,'Diags Raw Data'!$M$6:$M$4790,"New")+SUMIFS('Diags Raw Data'!$Z$6:$Z$4790,'Diags Raw Data'!$D$6:$D$4790,$A27,'Diags Raw Data'!$M$6:$M$4790,"Delta")</f>
        <v>0</v>
      </c>
      <c r="P27" s="207">
        <f>SUMIFS('Diags Raw Data'!$AA$6:$AA$4790,'Diags Raw Data'!$D$6:$D$4790,$A27,'Diags Raw Data'!$M$6:$M$4790,"New")+SUMIFS('Diags Raw Data'!$AA$6:$AA$4790,'Diags Raw Data'!$D$6:$D$4790,$A27,'Diags Raw Data'!$M$6:$M$4790,"Delta")</f>
        <v>0</v>
      </c>
      <c r="Q27" s="207">
        <f>SUMIFS('Diags Raw Data'!$AB$6:$AB$4790,'Diags Raw Data'!$D$6:$D$4790,$A27,'Diags Raw Data'!$M$6:$M$4790,"New")+SUMIFS('Diags Raw Data'!$AB$6:$AB$4790,'Diags Raw Data'!$D$6:$D$4790,$A27,'Diags Raw Data'!$M$6:$M$4790,"Delta")</f>
        <v>0</v>
      </c>
      <c r="R27" s="207">
        <f>SUMIFS('Diags Raw Data'!$AC$6:$AC$4790,'Diags Raw Data'!$D$6:$D$4790,$A27,'Diags Raw Data'!$M$6:$M$4790,"New")+SUMIFS('Diags Raw Data'!$AC$6:$AC$4790,'Diags Raw Data'!$D$6:$D$4790,$A27,'Diags Raw Data'!$M$6:$M$4790,"Delta")</f>
        <v>0</v>
      </c>
      <c r="S27" s="207">
        <f>SUMIFS('Diags Raw Data'!$AD$6:$AD$4790,'Diags Raw Data'!$D$6:$D$4790,$A27,'Diags Raw Data'!$M$6:$M$4790,"New")+SUMIFS('Diags Raw Data'!$AD$6:$AD$4790,'Diags Raw Data'!$D$6:$D$4790,$A27,'Diags Raw Data'!$M$6:$M$4790,"Delta")</f>
        <v>0</v>
      </c>
      <c r="T27" s="208" t="str">
        <f t="shared" si="12"/>
        <v>---</v>
      </c>
      <c r="U27" s="240" t="str">
        <f t="shared" si="13"/>
        <v>---</v>
      </c>
      <c r="V27" s="237" t="str">
        <f t="shared" si="9"/>
        <v>---</v>
      </c>
    </row>
    <row r="28" spans="1:22" ht="16.5" thickBot="1" x14ac:dyDescent="0.3">
      <c r="A28" s="256" t="s">
        <v>957</v>
      </c>
      <c r="B28" s="257">
        <f>SUM(B18:B27)</f>
        <v>0</v>
      </c>
      <c r="C28" s="258">
        <f>SUM(C18:C27)</f>
        <v>0</v>
      </c>
      <c r="D28" s="258">
        <f>SUM(D18:D27)</f>
        <v>0</v>
      </c>
      <c r="E28" s="258">
        <f>SUM(E18:E27)</f>
        <v>0</v>
      </c>
      <c r="F28" s="259" t="e" cm="1">
        <f t="array" ref="F28">SUMPRODUCT(--(ISNUMBER(SEARCH("New",'Diags Raw Data'!$M$6:$M$4790))),'Diags Raw Data'!$K$6:$K$4790,'Diags Raw Data'!$P$6:$P$4790)/D28+SUMPRODUCT(--(ISNUMBER(SEARCH("Delta",'Diags Raw Data'!$M$6:$M$4790))),'Diags Raw Data'!$K$6:$K$4790,'Diags Raw Data'!$P$6:$P$4790)/D28</f>
        <v>#DIV/0!</v>
      </c>
      <c r="G28" s="260">
        <f>SUM(G18:G27)</f>
        <v>0</v>
      </c>
      <c r="H28" s="261">
        <f>SUM(H18:H27)</f>
        <v>0</v>
      </c>
      <c r="I28" s="262">
        <f>SUM(I18:I27)</f>
        <v>0</v>
      </c>
      <c r="J28" s="261">
        <f>SUM(J18:J27)</f>
        <v>0</v>
      </c>
      <c r="K28" s="262">
        <f>SUM(K18:K27)</f>
        <v>0</v>
      </c>
      <c r="L28" s="263" t="str">
        <f>IF(NOT($C28=0), G28/$C28, "---")</f>
        <v>---</v>
      </c>
      <c r="M28" s="264" t="str">
        <f t="shared" si="14"/>
        <v>---</v>
      </c>
      <c r="N28" s="265" t="str">
        <f>IF(NOT($C28=0), (H28+I28)/$C28, "---")</f>
        <v>---</v>
      </c>
      <c r="O28" s="266">
        <f>SUM(O18:O27)</f>
        <v>0</v>
      </c>
      <c r="P28" s="267">
        <f>SUM(P18:P27)</f>
        <v>0</v>
      </c>
      <c r="Q28" s="268">
        <f>SUM(Q18:Q27)</f>
        <v>0</v>
      </c>
      <c r="R28" s="267">
        <f>SUM(R18:R27)</f>
        <v>0</v>
      </c>
      <c r="S28" s="268">
        <f>SUM(S18:S27)</f>
        <v>0</v>
      </c>
      <c r="T28" s="269" t="str">
        <f>IF(NOT($B28=0), O28/$B28, "---")</f>
        <v>---</v>
      </c>
      <c r="U28" s="270" t="str">
        <f t="shared" si="13"/>
        <v>---</v>
      </c>
      <c r="V28" s="271" t="str">
        <f t="shared" si="9"/>
        <v>---</v>
      </c>
    </row>
    <row r="29" spans="1:22" ht="15.75" thickBot="1" x14ac:dyDescent="0.3">
      <c r="A29" s="247"/>
      <c r="B29" s="247"/>
      <c r="C29" s="247"/>
      <c r="D29" s="247"/>
      <c r="E29" s="247"/>
      <c r="F29" s="247"/>
      <c r="G29" s="247"/>
      <c r="H29" s="247"/>
      <c r="I29" s="247"/>
      <c r="J29" s="247"/>
      <c r="K29" s="247"/>
      <c r="L29" s="247"/>
      <c r="M29" s="247"/>
      <c r="N29" s="247"/>
      <c r="O29" s="247"/>
      <c r="P29" s="247"/>
      <c r="Q29" s="247"/>
      <c r="R29" s="247"/>
      <c r="S29" s="247"/>
      <c r="T29" s="247"/>
      <c r="U29" s="247"/>
      <c r="V29" s="247"/>
    </row>
    <row r="30" spans="1:22" ht="15.75" thickBot="1" x14ac:dyDescent="0.3">
      <c r="A30" s="217" t="s">
        <v>33</v>
      </c>
      <c r="B30" s="676" t="s">
        <v>166</v>
      </c>
      <c r="C30" s="676"/>
      <c r="D30" s="676"/>
      <c r="E30" s="676"/>
      <c r="F30" s="676"/>
      <c r="G30" s="677" t="s">
        <v>177</v>
      </c>
      <c r="H30" s="678"/>
      <c r="I30" s="678"/>
      <c r="J30" s="678"/>
      <c r="K30" s="678"/>
      <c r="L30" s="678"/>
      <c r="M30" s="678"/>
      <c r="N30" s="679"/>
      <c r="O30" s="680" t="s">
        <v>144</v>
      </c>
      <c r="P30" s="681"/>
      <c r="Q30" s="681"/>
      <c r="R30" s="681"/>
      <c r="S30" s="681"/>
      <c r="T30" s="681"/>
      <c r="U30" s="681"/>
      <c r="V30" s="682"/>
    </row>
    <row r="31" spans="1:22" s="251" customFormat="1" ht="15.75" thickBot="1" x14ac:dyDescent="0.3">
      <c r="A31" s="255" t="s">
        <v>88</v>
      </c>
      <c r="B31" s="312" t="s">
        <v>167</v>
      </c>
      <c r="C31" s="313" t="s">
        <v>128</v>
      </c>
      <c r="D31" s="314" t="s">
        <v>105</v>
      </c>
      <c r="E31" s="314" t="s">
        <v>173</v>
      </c>
      <c r="F31" s="315" t="s">
        <v>175</v>
      </c>
      <c r="G31" s="316" t="s">
        <v>132</v>
      </c>
      <c r="H31" s="317" t="s">
        <v>30</v>
      </c>
      <c r="I31" s="317" t="s">
        <v>135</v>
      </c>
      <c r="J31" s="317" t="s">
        <v>36</v>
      </c>
      <c r="K31" s="317" t="s">
        <v>138</v>
      </c>
      <c r="L31" s="317" t="s">
        <v>184</v>
      </c>
      <c r="M31" s="317" t="s">
        <v>140</v>
      </c>
      <c r="N31" s="318" t="s">
        <v>187</v>
      </c>
      <c r="O31" s="319" t="s">
        <v>132</v>
      </c>
      <c r="P31" s="320" t="s">
        <v>30</v>
      </c>
      <c r="Q31" s="320" t="s">
        <v>135</v>
      </c>
      <c r="R31" s="320" t="s">
        <v>36</v>
      </c>
      <c r="S31" s="320" t="s">
        <v>138</v>
      </c>
      <c r="T31" s="320" t="s">
        <v>184</v>
      </c>
      <c r="U31" s="320" t="s">
        <v>140</v>
      </c>
      <c r="V31" s="321" t="s">
        <v>187</v>
      </c>
    </row>
    <row r="32" spans="1:22" x14ac:dyDescent="0.25">
      <c r="A32" s="333" t="s">
        <v>945</v>
      </c>
      <c r="B32" s="252">
        <f>SUMIFS('Diags Raw Data'!$L$6:$L$4790,'Diags Raw Data'!$D$6:$D$4790,$A32,'Diags Raw Data'!$M$6:$M$4790,"Legacy")</f>
        <v>0</v>
      </c>
      <c r="C32" s="242">
        <f>SUMIFS('Diags Raw Data'!$R$6:$R$4790,'Diags Raw Data'!$D$6:$D$4790,$A32,'Diags Raw Data'!$M$6:$M$4790,"Legacy")</f>
        <v>0</v>
      </c>
      <c r="D32" s="242">
        <f>SUMIFS('Diags Raw Data'!$K$6:$K$4790,'Diags Raw Data'!$D$6:$D$4790,$A32,'Diags Raw Data'!$M$6:$M$4790,"Legacy")</f>
        <v>0</v>
      </c>
      <c r="E32" s="242">
        <f>SUMIFS('Diags Raw Data'!$O$6:$O$4790,'Diags Raw Data'!$D$6:$D$4790,$A32,'Diags Raw Data'!$M$6:$M$4790,"Legacy")</f>
        <v>0</v>
      </c>
      <c r="F32" s="248" t="str">
        <f>IF(NOT($B32=0), E32/$B32, "---")</f>
        <v>---</v>
      </c>
      <c r="G32" s="220">
        <f>SUMIFS('Diags Raw Data'!$S$6:$S$4790,'Diags Raw Data'!$D$6:$D$4790,$A32,'Diags Raw Data'!$M$6:$M$4790,"Legacy")</f>
        <v>0</v>
      </c>
      <c r="H32" s="221">
        <f>SUMIFS('Diags Raw Data'!$T$6:$T$4790,'Diags Raw Data'!$D$6:$D$4790,$A32,'Diags Raw Data'!$M$6:$M$4790,"Legacy")</f>
        <v>0</v>
      </c>
      <c r="I32" s="223">
        <f>SUMIFS('Diags Raw Data'!$U$6:$U$4790,'Diags Raw Data'!$D$6:$D$4790,$A32,'Diags Raw Data'!$M$6:$M$4790,"Legacy")</f>
        <v>0</v>
      </c>
      <c r="J32" s="221">
        <f>SUMIFS('Diags Raw Data'!$V$6:$V$4790,'Diags Raw Data'!$D$6:$D$4790,$A32,'Diags Raw Data'!$M$6:$M$4790,"Legacy")</f>
        <v>0</v>
      </c>
      <c r="K32" s="223">
        <f>SUMIFS('Diags Raw Data'!$W$6:$W$4790,'Diags Raw Data'!$D$6:$D$4790,$A32,'Diags Raw Data'!$M$6:$M$4790,"Legacy")</f>
        <v>0</v>
      </c>
      <c r="L32" s="222" t="str">
        <f>IF(NOT($C32=0), G32/$C32, "---")</f>
        <v>---</v>
      </c>
      <c r="M32" s="224" t="str">
        <f>IF(NOT($G32=0), (H32+I32)/$G32, "---")</f>
        <v>---</v>
      </c>
      <c r="N32" s="226" t="str">
        <f>IF(NOT($C32=0), (H32+I32)/$C32, "---")</f>
        <v>---</v>
      </c>
      <c r="O32" s="213">
        <f>SUMIFS('Diags Raw Data'!$Z$6:$Z$4790,'Diags Raw Data'!$D$6:$D$4790,$A32,'Diags Raw Data'!$M$6:$M$4790,"Legacy")</f>
        <v>0</v>
      </c>
      <c r="P32" s="210">
        <f>SUMIFS('Diags Raw Data'!$AA$6:$AA$4790,'Diags Raw Data'!$D$6:$D$4790,$A32,'Diags Raw Data'!$M$6:$M$4790,"Legacy")</f>
        <v>0</v>
      </c>
      <c r="Q32" s="212">
        <f>SUMIFS('Diags Raw Data'!$AB$6:$AB$4790,'Diags Raw Data'!$D$6:$D$4790,$A32,'Diags Raw Data'!$M$6:$M$4790,"Legacy")</f>
        <v>0</v>
      </c>
      <c r="R32" s="210">
        <f>SUMIFS('Diags Raw Data'!$AC$6:$AC$4790,'Diags Raw Data'!$D$6:$D$4790,$A32,'Diags Raw Data'!$M$6:$M$4790,"Legacy")</f>
        <v>0</v>
      </c>
      <c r="S32" s="212">
        <f>SUMIFS('Diags Raw Data'!$AD$6:$AD$4790,'Diags Raw Data'!$D$6:$D$4790,$A32,'Diags Raw Data'!$M$6:$M$4790,"Legacy")</f>
        <v>0</v>
      </c>
      <c r="T32" s="211" t="str">
        <f>IF(NOT($B32=0), O32/$B32, "---")</f>
        <v>---</v>
      </c>
      <c r="U32" s="225" t="str">
        <f>IF(NOT($O32=0), (P32+Q32)/$O32, "---")</f>
        <v>---</v>
      </c>
      <c r="V32" s="241" t="str">
        <f>IF(NOT($B32=0), (P32+Q32)/$B32, "---")</f>
        <v>---</v>
      </c>
    </row>
    <row r="33" spans="1:22" x14ac:dyDescent="0.25">
      <c r="A33" s="333" t="s">
        <v>946</v>
      </c>
      <c r="B33" s="253">
        <f>SUMIFS('Diags Raw Data'!$L$6:$L$4790,'Diags Raw Data'!$D$6:$D$4790,$A33,'Diags Raw Data'!$M$6:$M$4790,"Legacy")</f>
        <v>0</v>
      </c>
      <c r="C33" s="243">
        <f>SUMIFS('Diags Raw Data'!$R$6:$R$4790,'Diags Raw Data'!$D$6:$D$4790,$A33,'Diags Raw Data'!$M$6:$M$4790,"Legacy")</f>
        <v>0</v>
      </c>
      <c r="D33" s="243">
        <f>SUMIFS('Diags Raw Data'!$K$6:$K$4790,'Diags Raw Data'!$D$6:$D$4790,$A33,'Diags Raw Data'!$M$6:$M$4790,"Legacy")</f>
        <v>0</v>
      </c>
      <c r="E33" s="243">
        <f>SUMIFS('Diags Raw Data'!$O$6:$O$4790,'Diags Raw Data'!$D$6:$D$4790,$A33,'Diags Raw Data'!$M$6:$M$4790,"Legacy")</f>
        <v>0</v>
      </c>
      <c r="F33" s="249" t="str">
        <f t="shared" ref="F33:F41" si="15">IF(NOT($B33=0), E33/$B33, "---")</f>
        <v>---</v>
      </c>
      <c r="G33" s="231">
        <f>SUMIFS('Diags Raw Data'!$S$6:$S$4790,'Diags Raw Data'!$D$6:$D$4790,$A33,'Diags Raw Data'!$M$6:$M$4790,"Legacy")</f>
        <v>0</v>
      </c>
      <c r="H33" s="227">
        <f>SUMIFS('Diags Raw Data'!$T$6:$T$4790,'Diags Raw Data'!$D$6:$D$4790,$A33,'Diags Raw Data'!$M$6:$M$4790,"Legacy")</f>
        <v>0</v>
      </c>
      <c r="I33" s="228">
        <f>SUMIFS('Diags Raw Data'!$U$6:$U$4790,'Diags Raw Data'!$D$6:$D$4790,$A33,'Diags Raw Data'!$M$6:$M$4790,"Legacy")</f>
        <v>0</v>
      </c>
      <c r="J33" s="227">
        <f>SUMIFS('Diags Raw Data'!$V$6:$V$4790,'Diags Raw Data'!$D$6:$D$4790,$A33,'Diags Raw Data'!$M$6:$M$4790,"Legacy")</f>
        <v>0</v>
      </c>
      <c r="K33" s="228">
        <f>SUMIFS('Diags Raw Data'!$W$6:$W$4790,'Diags Raw Data'!$D$6:$D$4790,$A33,'Diags Raw Data'!$M$6:$M$4790,"Legacy")</f>
        <v>0</v>
      </c>
      <c r="L33" s="244" t="str">
        <f t="shared" ref="L33:L41" si="16">IF(NOT($C33=0), G33/$C33, "---")</f>
        <v>---</v>
      </c>
      <c r="M33" s="229" t="str">
        <f t="shared" ref="M33:M42" si="17">IF(NOT($G33=0), (H33+I33)/$G33, "---")</f>
        <v>---</v>
      </c>
      <c r="N33" s="238" t="str">
        <f t="shared" ref="N33:N42" si="18">IF(NOT($C33=0), (H33+I33)/$C33, "---")</f>
        <v>---</v>
      </c>
      <c r="O33" s="214">
        <f>SUMIFS('Diags Raw Data'!$Z$6:$Z$4790,'Diags Raw Data'!$D$6:$D$4790,$A33,'Diags Raw Data'!$M$6:$M$4790,"Legacy")</f>
        <v>0</v>
      </c>
      <c r="P33" s="204">
        <f>SUMIFS('Diags Raw Data'!$AA$6:$AA$4790,'Diags Raw Data'!$D$6:$D$4790,$A33,'Diags Raw Data'!$M$6:$M$4790,"Legacy")</f>
        <v>0</v>
      </c>
      <c r="Q33" s="206">
        <f>SUMIFS('Diags Raw Data'!$AB$6:$AB$4790,'Diags Raw Data'!$D$6:$D$4790,$A33,'Diags Raw Data'!$M$6:$M$4790,"Legacy")</f>
        <v>0</v>
      </c>
      <c r="R33" s="204">
        <f>SUMIFS('Diags Raw Data'!$AC$6:$AC$4790,'Diags Raw Data'!$D$6:$D$4790,$A33,'Diags Raw Data'!$M$6:$M$4790,"Legacy")</f>
        <v>0</v>
      </c>
      <c r="S33" s="206">
        <f>SUMIFS('Diags Raw Data'!$AD$6:$AD$4790,'Diags Raw Data'!$D$6:$D$4790,$A33,'Diags Raw Data'!$M$6:$M$4790,"Legacy")</f>
        <v>0</v>
      </c>
      <c r="T33" s="205" t="str">
        <f t="shared" ref="T33:T41" si="19">IF(NOT($B33=0), O33/$B33, "---")</f>
        <v>---</v>
      </c>
      <c r="U33" s="230" t="str">
        <f t="shared" ref="U33:U42" si="20">IF(NOT($O33=0), (P33+Q33)/$O33, "---")</f>
        <v>---</v>
      </c>
      <c r="V33" s="232" t="str">
        <f t="shared" ref="V33:V41" si="21">IF(NOT($B33=0), (P33+Q33)/$B33, "---")</f>
        <v>---</v>
      </c>
    </row>
    <row r="34" spans="1:22" x14ac:dyDescent="0.25">
      <c r="A34" s="333" t="s">
        <v>947</v>
      </c>
      <c r="B34" s="253">
        <f>SUMIFS('Diags Raw Data'!$L$6:$L$4790,'Diags Raw Data'!$D$6:$D$4790,$A34,'Diags Raw Data'!$M$6:$M$4790,"Legacy")</f>
        <v>0</v>
      </c>
      <c r="C34" s="243">
        <f>SUMIFS('Diags Raw Data'!$R$6:$R$4790,'Diags Raw Data'!$D$6:$D$4790,$A34,'Diags Raw Data'!$M$6:$M$4790,"Legacy")</f>
        <v>0</v>
      </c>
      <c r="D34" s="243">
        <f>SUMIFS('Diags Raw Data'!$K$6:$K$4790,'Diags Raw Data'!$D$6:$D$4790,$A34,'Diags Raw Data'!$M$6:$M$4790,"Legacy")</f>
        <v>0</v>
      </c>
      <c r="E34" s="243">
        <f>SUMIFS('Diags Raw Data'!$O$6:$O$4790,'Diags Raw Data'!$D$6:$D$4790,$A34,'Diags Raw Data'!$M$6:$M$4790,"Legacy")</f>
        <v>0</v>
      </c>
      <c r="F34" s="249" t="str">
        <f t="shared" si="15"/>
        <v>---</v>
      </c>
      <c r="G34" s="231">
        <f>SUMIFS('Diags Raw Data'!$S$6:$S$4790,'Diags Raw Data'!$D$6:$D$4790,$A34,'Diags Raw Data'!$M$6:$M$4790,"Legacy")</f>
        <v>0</v>
      </c>
      <c r="H34" s="227">
        <f>SUMIFS('Diags Raw Data'!$T$6:$T$4790,'Diags Raw Data'!$D$6:$D$4790,$A34,'Diags Raw Data'!$M$6:$M$4790,"Legacy")</f>
        <v>0</v>
      </c>
      <c r="I34" s="228">
        <f>SUMIFS('Diags Raw Data'!$U$6:$U$4790,'Diags Raw Data'!$D$6:$D$4790,$A34,'Diags Raw Data'!$M$6:$M$4790,"Legacy")</f>
        <v>0</v>
      </c>
      <c r="J34" s="227">
        <f>SUMIFS('Diags Raw Data'!$V$6:$V$4790,'Diags Raw Data'!$D$6:$D$4790,$A34,'Diags Raw Data'!$M$6:$M$4790,"Legacy")</f>
        <v>0</v>
      </c>
      <c r="K34" s="228">
        <f>SUMIFS('Diags Raw Data'!$W$6:$W$4790,'Diags Raw Data'!$D$6:$D$4790,$A34,'Diags Raw Data'!$M$6:$M$4790,"Legacy")</f>
        <v>0</v>
      </c>
      <c r="L34" s="244" t="str">
        <f t="shared" si="16"/>
        <v>---</v>
      </c>
      <c r="M34" s="229" t="str">
        <f t="shared" si="17"/>
        <v>---</v>
      </c>
      <c r="N34" s="238" t="str">
        <f t="shared" si="18"/>
        <v>---</v>
      </c>
      <c r="O34" s="214">
        <f>SUMIFS('Diags Raw Data'!$Z$6:$Z$4790,'Diags Raw Data'!$D$6:$D$4790,$A34,'Diags Raw Data'!$M$6:$M$4790,"Legacy")</f>
        <v>0</v>
      </c>
      <c r="P34" s="204">
        <f>SUMIFS('Diags Raw Data'!$AA$6:$AA$4790,'Diags Raw Data'!$D$6:$D$4790,$A34,'Diags Raw Data'!$M$6:$M$4790,"Legacy")</f>
        <v>0</v>
      </c>
      <c r="Q34" s="206">
        <f>SUMIFS('Diags Raw Data'!$AB$6:$AB$4790,'Diags Raw Data'!$D$6:$D$4790,$A34,'Diags Raw Data'!$M$6:$M$4790,"Legacy")</f>
        <v>0</v>
      </c>
      <c r="R34" s="204">
        <f>SUMIFS('Diags Raw Data'!$AC$6:$AC$4790,'Diags Raw Data'!$D$6:$D$4790,$A34,'Diags Raw Data'!$M$6:$M$4790,"Legacy")</f>
        <v>0</v>
      </c>
      <c r="S34" s="206">
        <f>SUMIFS('Diags Raw Data'!$AD$6:$AD$4790,'Diags Raw Data'!$D$6:$D$4790,$A34,'Diags Raw Data'!$M$6:$M$4790,"Legacy")</f>
        <v>0</v>
      </c>
      <c r="T34" s="205" t="str">
        <f t="shared" si="19"/>
        <v>---</v>
      </c>
      <c r="U34" s="230" t="str">
        <f t="shared" si="20"/>
        <v>---</v>
      </c>
      <c r="V34" s="232" t="str">
        <f t="shared" si="21"/>
        <v>---</v>
      </c>
    </row>
    <row r="35" spans="1:22" x14ac:dyDescent="0.25">
      <c r="A35" s="333" t="s">
        <v>948</v>
      </c>
      <c r="B35" s="253">
        <f>SUMIFS('Diags Raw Data'!$L$6:$L$4790,'Diags Raw Data'!$D$6:$D$4790,$A35,'Diags Raw Data'!$M$6:$M$4790,"Legacy")</f>
        <v>0</v>
      </c>
      <c r="C35" s="243">
        <f>SUMIFS('Diags Raw Data'!$R$6:$R$4790,'Diags Raw Data'!$D$6:$D$4790,$A35,'Diags Raw Data'!$M$6:$M$4790,"Legacy")</f>
        <v>0</v>
      </c>
      <c r="D35" s="243">
        <f>SUMIFS('Diags Raw Data'!$K$6:$K$4790,'Diags Raw Data'!$D$6:$D$4790,$A35,'Diags Raw Data'!$M$6:$M$4790,"Legacy")</f>
        <v>0</v>
      </c>
      <c r="E35" s="243">
        <f>SUMIFS('Diags Raw Data'!$O$6:$O$4790,'Diags Raw Data'!$D$6:$D$4790,$A35,'Diags Raw Data'!$M$6:$M$4790,"Legacy")</f>
        <v>0</v>
      </c>
      <c r="F35" s="249" t="str">
        <f t="shared" si="15"/>
        <v>---</v>
      </c>
      <c r="G35" s="231">
        <f>SUMIFS('Diags Raw Data'!$S$6:$S$4790,'Diags Raw Data'!$D$6:$D$4790,$A35,'Diags Raw Data'!$M$6:$M$4790,"Legacy")</f>
        <v>0</v>
      </c>
      <c r="H35" s="227">
        <f>SUMIFS('Diags Raw Data'!$T$6:$T$4790,'Diags Raw Data'!$D$6:$D$4790,$A35,'Diags Raw Data'!$M$6:$M$4790,"Legacy")</f>
        <v>0</v>
      </c>
      <c r="I35" s="228">
        <f>SUMIFS('Diags Raw Data'!$U$6:$U$4790,'Diags Raw Data'!$D$6:$D$4790,$A35,'Diags Raw Data'!$M$6:$M$4790,"Legacy")</f>
        <v>0</v>
      </c>
      <c r="J35" s="227">
        <f>SUMIFS('Diags Raw Data'!$V$6:$V$4790,'Diags Raw Data'!$D$6:$D$4790,$A35,'Diags Raw Data'!$M$6:$M$4790,"Legacy")</f>
        <v>0</v>
      </c>
      <c r="K35" s="228">
        <f>SUMIFS('Diags Raw Data'!$W$6:$W$4790,'Diags Raw Data'!$D$6:$D$4790,$A35,'Diags Raw Data'!$M$6:$M$4790,"Legacy")</f>
        <v>0</v>
      </c>
      <c r="L35" s="244" t="str">
        <f t="shared" si="16"/>
        <v>---</v>
      </c>
      <c r="M35" s="229" t="str">
        <f t="shared" si="17"/>
        <v>---</v>
      </c>
      <c r="N35" s="238" t="str">
        <f t="shared" si="18"/>
        <v>---</v>
      </c>
      <c r="O35" s="214">
        <f>SUMIFS('Diags Raw Data'!$Z$6:$Z$4790,'Diags Raw Data'!$D$6:$D$4790,$A35,'Diags Raw Data'!$M$6:$M$4790,"Legacy")</f>
        <v>0</v>
      </c>
      <c r="P35" s="204">
        <f>SUMIFS('Diags Raw Data'!$AA$6:$AA$4790,'Diags Raw Data'!$D$6:$D$4790,$A35,'Diags Raw Data'!$M$6:$M$4790,"Legacy")</f>
        <v>0</v>
      </c>
      <c r="Q35" s="206">
        <f>SUMIFS('Diags Raw Data'!$AB$6:$AB$4790,'Diags Raw Data'!$D$6:$D$4790,$A35,'Diags Raw Data'!$M$6:$M$4790,"Legacy")</f>
        <v>0</v>
      </c>
      <c r="R35" s="204">
        <f>SUMIFS('Diags Raw Data'!$AC$6:$AC$4790,'Diags Raw Data'!$D$6:$D$4790,$A35,'Diags Raw Data'!$M$6:$M$4790,"Legacy")</f>
        <v>0</v>
      </c>
      <c r="S35" s="206">
        <f>SUMIFS('Diags Raw Data'!$AD$6:$AD$4790,'Diags Raw Data'!$D$6:$D$4790,$A35,'Diags Raw Data'!$M$6:$M$4790,"Legacy")</f>
        <v>0</v>
      </c>
      <c r="T35" s="205" t="str">
        <f t="shared" si="19"/>
        <v>---</v>
      </c>
      <c r="U35" s="230" t="str">
        <f t="shared" si="20"/>
        <v>---</v>
      </c>
      <c r="V35" s="232" t="str">
        <f t="shared" si="21"/>
        <v>---</v>
      </c>
    </row>
    <row r="36" spans="1:22" x14ac:dyDescent="0.25">
      <c r="A36" s="333" t="s">
        <v>949</v>
      </c>
      <c r="B36" s="253">
        <f>SUMIFS('Diags Raw Data'!$L$6:$L$4790,'Diags Raw Data'!$D$6:$D$4790,$A36,'Diags Raw Data'!$M$6:$M$4790,"Legacy")</f>
        <v>0</v>
      </c>
      <c r="C36" s="243">
        <f>SUMIFS('Diags Raw Data'!$R$6:$R$4790,'Diags Raw Data'!$D$6:$D$4790,$A36,'Diags Raw Data'!$M$6:$M$4790,"Legacy")</f>
        <v>0</v>
      </c>
      <c r="D36" s="243">
        <f>SUMIFS('Diags Raw Data'!$K$6:$K$4790,'Diags Raw Data'!$D$6:$D$4790,$A36,'Diags Raw Data'!$M$6:$M$4790,"Legacy")</f>
        <v>0</v>
      </c>
      <c r="E36" s="243">
        <f>SUMIFS('Diags Raw Data'!$O$6:$O$4790,'Diags Raw Data'!$D$6:$D$4790,$A36,'Diags Raw Data'!$M$6:$M$4790,"Legacy")</f>
        <v>0</v>
      </c>
      <c r="F36" s="249" t="str">
        <f t="shared" si="15"/>
        <v>---</v>
      </c>
      <c r="G36" s="231">
        <f>SUMIFS('Diags Raw Data'!$S$6:$S$4790,'Diags Raw Data'!$D$6:$D$4790,$A36,'Diags Raw Data'!$M$6:$M$4790,"Legacy")</f>
        <v>0</v>
      </c>
      <c r="H36" s="227">
        <f>SUMIFS('Diags Raw Data'!$T$6:$T$4790,'Diags Raw Data'!$D$6:$D$4790,$A36,'Diags Raw Data'!$M$6:$M$4790,"Legacy")</f>
        <v>0</v>
      </c>
      <c r="I36" s="228">
        <f>SUMIFS('Diags Raw Data'!$U$6:$U$4790,'Diags Raw Data'!$D$6:$D$4790,$A36,'Diags Raw Data'!$M$6:$M$4790,"Legacy")</f>
        <v>0</v>
      </c>
      <c r="J36" s="227">
        <f>SUMIFS('Diags Raw Data'!$V$6:$V$4790,'Diags Raw Data'!$D$6:$D$4790,$A36,'Diags Raw Data'!$M$6:$M$4790,"Legacy")</f>
        <v>0</v>
      </c>
      <c r="K36" s="228">
        <f>SUMIFS('Diags Raw Data'!$W$6:$W$4790,'Diags Raw Data'!$D$6:$D$4790,$A36,'Diags Raw Data'!$M$6:$M$4790,"Legacy")</f>
        <v>0</v>
      </c>
      <c r="L36" s="244" t="str">
        <f t="shared" si="16"/>
        <v>---</v>
      </c>
      <c r="M36" s="229" t="str">
        <f t="shared" si="17"/>
        <v>---</v>
      </c>
      <c r="N36" s="238" t="str">
        <f t="shared" si="18"/>
        <v>---</v>
      </c>
      <c r="O36" s="214">
        <f>SUMIFS('Diags Raw Data'!$Z$6:$Z$4790,'Diags Raw Data'!$D$6:$D$4790,$A36,'Diags Raw Data'!$M$6:$M$4790,"Legacy")</f>
        <v>0</v>
      </c>
      <c r="P36" s="204">
        <f>SUMIFS('Diags Raw Data'!$AA$6:$AA$4790,'Diags Raw Data'!$D$6:$D$4790,$A36,'Diags Raw Data'!$M$6:$M$4790,"Legacy")</f>
        <v>0</v>
      </c>
      <c r="Q36" s="206">
        <f>SUMIFS('Diags Raw Data'!$AB$6:$AB$4790,'Diags Raw Data'!$D$6:$D$4790,$A36,'Diags Raw Data'!$M$6:$M$4790,"Legacy")</f>
        <v>0</v>
      </c>
      <c r="R36" s="204">
        <f>SUMIFS('Diags Raw Data'!$AC$6:$AC$4790,'Diags Raw Data'!$D$6:$D$4790,$A36,'Diags Raw Data'!$M$6:$M$4790,"Legacy")</f>
        <v>0</v>
      </c>
      <c r="S36" s="206">
        <f>SUMIFS('Diags Raw Data'!$AD$6:$AD$4790,'Diags Raw Data'!$D$6:$D$4790,$A36,'Diags Raw Data'!$M$6:$M$4790,"Legacy")</f>
        <v>0</v>
      </c>
      <c r="T36" s="205" t="str">
        <f t="shared" si="19"/>
        <v>---</v>
      </c>
      <c r="U36" s="230" t="str">
        <f t="shared" si="20"/>
        <v>---</v>
      </c>
      <c r="V36" s="232" t="str">
        <f t="shared" si="21"/>
        <v>---</v>
      </c>
    </row>
    <row r="37" spans="1:22" x14ac:dyDescent="0.25">
      <c r="A37" s="333" t="s">
        <v>950</v>
      </c>
      <c r="B37" s="253">
        <f>SUMIFS('Diags Raw Data'!$L$6:$L$4790,'Diags Raw Data'!$D$6:$D$4790,$A37,'Diags Raw Data'!$M$6:$M$4790,"Legacy")</f>
        <v>0</v>
      </c>
      <c r="C37" s="243">
        <f>SUMIFS('Diags Raw Data'!$R$6:$R$4790,'Diags Raw Data'!$D$6:$D$4790,$A37,'Diags Raw Data'!$M$6:$M$4790,"Legacy")</f>
        <v>0</v>
      </c>
      <c r="D37" s="243">
        <f>SUMIFS('Diags Raw Data'!$K$6:$K$4790,'Diags Raw Data'!$D$6:$D$4790,$A37,'Diags Raw Data'!$M$6:$M$4790,"Legacy")</f>
        <v>0</v>
      </c>
      <c r="E37" s="243">
        <f>SUMIFS('Diags Raw Data'!$O$6:$O$4790,'Diags Raw Data'!$D$6:$D$4790,$A37,'Diags Raw Data'!$M$6:$M$4790,"Legacy")</f>
        <v>0</v>
      </c>
      <c r="F37" s="249" t="str">
        <f t="shared" si="15"/>
        <v>---</v>
      </c>
      <c r="G37" s="231">
        <f>SUMIFS('Diags Raw Data'!$S$6:$S$4790,'Diags Raw Data'!$D$6:$D$4790,$A37,'Diags Raw Data'!$M$6:$M$4790,"Legacy")</f>
        <v>0</v>
      </c>
      <c r="H37" s="227">
        <f>SUMIFS('Diags Raw Data'!$T$6:$T$4790,'Diags Raw Data'!$D$6:$D$4790,$A37,'Diags Raw Data'!$M$6:$M$4790,"Legacy")</f>
        <v>0</v>
      </c>
      <c r="I37" s="228">
        <f>SUMIFS('Diags Raw Data'!$U$6:$U$4790,'Diags Raw Data'!$D$6:$D$4790,$A37,'Diags Raw Data'!$M$6:$M$4790,"Legacy")</f>
        <v>0</v>
      </c>
      <c r="J37" s="227">
        <f>SUMIFS('Diags Raw Data'!$V$6:$V$4790,'Diags Raw Data'!$D$6:$D$4790,$A37,'Diags Raw Data'!$M$6:$M$4790,"Legacy")</f>
        <v>0</v>
      </c>
      <c r="K37" s="228">
        <f>SUMIFS('Diags Raw Data'!$W$6:$W$4790,'Diags Raw Data'!$D$6:$D$4790,$A37,'Diags Raw Data'!$M$6:$M$4790,"Legacy")</f>
        <v>0</v>
      </c>
      <c r="L37" s="244" t="str">
        <f t="shared" si="16"/>
        <v>---</v>
      </c>
      <c r="M37" s="229" t="str">
        <f t="shared" si="17"/>
        <v>---</v>
      </c>
      <c r="N37" s="238" t="str">
        <f t="shared" si="18"/>
        <v>---</v>
      </c>
      <c r="O37" s="214">
        <f>SUMIFS('Diags Raw Data'!$Z$6:$Z$4790,'Diags Raw Data'!$D$6:$D$4790,$A37,'Diags Raw Data'!$M$6:$M$4790,"Legacy")</f>
        <v>0</v>
      </c>
      <c r="P37" s="204">
        <f>SUMIFS('Diags Raw Data'!$AA$6:$AA$4790,'Diags Raw Data'!$D$6:$D$4790,$A37,'Diags Raw Data'!$M$6:$M$4790,"Legacy")</f>
        <v>0</v>
      </c>
      <c r="Q37" s="206">
        <f>SUMIFS('Diags Raw Data'!$AB$6:$AB$4790,'Diags Raw Data'!$D$6:$D$4790,$A37,'Diags Raw Data'!$M$6:$M$4790,"Legacy")</f>
        <v>0</v>
      </c>
      <c r="R37" s="204">
        <f>SUMIFS('Diags Raw Data'!$AC$6:$AC$4790,'Diags Raw Data'!$D$6:$D$4790,$A37,'Diags Raw Data'!$M$6:$M$4790,"Legacy")</f>
        <v>0</v>
      </c>
      <c r="S37" s="206">
        <f>SUMIFS('Diags Raw Data'!$AD$6:$AD$4790,'Diags Raw Data'!$D$6:$D$4790,$A37,'Diags Raw Data'!$M$6:$M$4790,"Legacy")</f>
        <v>0</v>
      </c>
      <c r="T37" s="205" t="str">
        <f t="shared" si="19"/>
        <v>---</v>
      </c>
      <c r="U37" s="230" t="str">
        <f t="shared" si="20"/>
        <v>---</v>
      </c>
      <c r="V37" s="232" t="str">
        <f t="shared" si="21"/>
        <v>---</v>
      </c>
    </row>
    <row r="38" spans="1:22" x14ac:dyDescent="0.25">
      <c r="A38" s="333" t="s">
        <v>951</v>
      </c>
      <c r="B38" s="253">
        <f>SUMIFS('Diags Raw Data'!$L$6:$L$4790,'Diags Raw Data'!$D$6:$D$4790,$A38,'Diags Raw Data'!$M$6:$M$4790,"Legacy")</f>
        <v>0</v>
      </c>
      <c r="C38" s="243">
        <f>SUMIFS('Diags Raw Data'!$R$6:$R$4790,'Diags Raw Data'!$D$6:$D$4790,$A38,'Diags Raw Data'!$M$6:$M$4790,"Legacy")</f>
        <v>0</v>
      </c>
      <c r="D38" s="243">
        <f>SUMIFS('Diags Raw Data'!$K$6:$K$4790,'Diags Raw Data'!$D$6:$D$4790,$A38,'Diags Raw Data'!$M$6:$M$4790,"Legacy")</f>
        <v>0</v>
      </c>
      <c r="E38" s="243">
        <f>SUMIFS('Diags Raw Data'!$O$6:$O$4790,'Diags Raw Data'!$D$6:$D$4790,$A38,'Diags Raw Data'!$M$6:$M$4790,"Legacy")</f>
        <v>0</v>
      </c>
      <c r="F38" s="249" t="str">
        <f t="shared" si="15"/>
        <v>---</v>
      </c>
      <c r="G38" s="231">
        <f>SUMIFS('Diags Raw Data'!$S$6:$S$4790,'Diags Raw Data'!$D$6:$D$4790,$A38,'Diags Raw Data'!$M$6:$M$4790,"Legacy")</f>
        <v>0</v>
      </c>
      <c r="H38" s="227">
        <f>SUMIFS('Diags Raw Data'!$T$6:$T$4790,'Diags Raw Data'!$D$6:$D$4790,$A38,'Diags Raw Data'!$M$6:$M$4790,"Legacy")</f>
        <v>0</v>
      </c>
      <c r="I38" s="228">
        <f>SUMIFS('Diags Raw Data'!$U$6:$U$4790,'Diags Raw Data'!$D$6:$D$4790,$A38,'Diags Raw Data'!$M$6:$M$4790,"Legacy")</f>
        <v>0</v>
      </c>
      <c r="J38" s="227">
        <f>SUMIFS('Diags Raw Data'!$V$6:$V$4790,'Diags Raw Data'!$D$6:$D$4790,$A38,'Diags Raw Data'!$M$6:$M$4790,"Legacy")</f>
        <v>0</v>
      </c>
      <c r="K38" s="228">
        <f>SUMIFS('Diags Raw Data'!$W$6:$W$4790,'Diags Raw Data'!$D$6:$D$4790,$A38,'Diags Raw Data'!$M$6:$M$4790,"Legacy")</f>
        <v>0</v>
      </c>
      <c r="L38" s="244" t="str">
        <f t="shared" si="16"/>
        <v>---</v>
      </c>
      <c r="M38" s="229" t="str">
        <f t="shared" si="17"/>
        <v>---</v>
      </c>
      <c r="N38" s="238" t="str">
        <f t="shared" si="18"/>
        <v>---</v>
      </c>
      <c r="O38" s="214">
        <f>SUMIFS('Diags Raw Data'!$Z$6:$Z$4790,'Diags Raw Data'!$D$6:$D$4790,$A38,'Diags Raw Data'!$M$6:$M$4790,"Legacy")</f>
        <v>0</v>
      </c>
      <c r="P38" s="204">
        <f>SUMIFS('Diags Raw Data'!$AA$6:$AA$4790,'Diags Raw Data'!$D$6:$D$4790,$A38,'Diags Raw Data'!$M$6:$M$4790,"Legacy")</f>
        <v>0</v>
      </c>
      <c r="Q38" s="206">
        <f>SUMIFS('Diags Raw Data'!$AB$6:$AB$4790,'Diags Raw Data'!$D$6:$D$4790,$A38,'Diags Raw Data'!$M$6:$M$4790,"Legacy")</f>
        <v>0</v>
      </c>
      <c r="R38" s="204">
        <f>SUMIFS('Diags Raw Data'!$AC$6:$AC$4790,'Diags Raw Data'!$D$6:$D$4790,$A38,'Diags Raw Data'!$M$6:$M$4790,"Legacy")</f>
        <v>0</v>
      </c>
      <c r="S38" s="206">
        <f>SUMIFS('Diags Raw Data'!$AD$6:$AD$4790,'Diags Raw Data'!$D$6:$D$4790,$A38,'Diags Raw Data'!$M$6:$M$4790,"Legacy")</f>
        <v>0</v>
      </c>
      <c r="T38" s="205" t="str">
        <f t="shared" si="19"/>
        <v>---</v>
      </c>
      <c r="U38" s="230" t="str">
        <f t="shared" si="20"/>
        <v>---</v>
      </c>
      <c r="V38" s="232" t="str">
        <f t="shared" si="21"/>
        <v>---</v>
      </c>
    </row>
    <row r="39" spans="1:22" x14ac:dyDescent="0.25">
      <c r="A39" s="333" t="s">
        <v>952</v>
      </c>
      <c r="B39" s="253">
        <f>SUMIFS('Diags Raw Data'!$L$6:$L$4790,'Diags Raw Data'!$D$6:$D$4790,$A39,'Diags Raw Data'!$M$6:$M$4790,"Legacy")</f>
        <v>0</v>
      </c>
      <c r="C39" s="243">
        <f>SUMIFS('Diags Raw Data'!$R$6:$R$4790,'Diags Raw Data'!$D$6:$D$4790,$A39,'Diags Raw Data'!$M$6:$M$4790,"Legacy")</f>
        <v>0</v>
      </c>
      <c r="D39" s="243">
        <f>SUMIFS('Diags Raw Data'!$K$6:$K$4790,'Diags Raw Data'!$D$6:$D$4790,$A39,'Diags Raw Data'!$M$6:$M$4790,"Legacy")</f>
        <v>0</v>
      </c>
      <c r="E39" s="243">
        <f>SUMIFS('Diags Raw Data'!$O$6:$O$4790,'Diags Raw Data'!$D$6:$D$4790,$A39,'Diags Raw Data'!$M$6:$M$4790,"Legacy")</f>
        <v>0</v>
      </c>
      <c r="F39" s="249" t="str">
        <f t="shared" si="15"/>
        <v>---</v>
      </c>
      <c r="G39" s="231">
        <f>SUMIFS('Diags Raw Data'!$S$6:$S$4790,'Diags Raw Data'!$D$6:$D$4790,$A39,'Diags Raw Data'!$M$6:$M$4790,"Legacy")</f>
        <v>0</v>
      </c>
      <c r="H39" s="227">
        <f>SUMIFS('Diags Raw Data'!$T$6:$T$4790,'Diags Raw Data'!$D$6:$D$4790,$A39,'Diags Raw Data'!$M$6:$M$4790,"Legacy")</f>
        <v>0</v>
      </c>
      <c r="I39" s="228">
        <f>SUMIFS('Diags Raw Data'!$U$6:$U$4790,'Diags Raw Data'!$D$6:$D$4790,$A39,'Diags Raw Data'!$M$6:$M$4790,"Legacy")</f>
        <v>0</v>
      </c>
      <c r="J39" s="227">
        <f>SUMIFS('Diags Raw Data'!$V$6:$V$4790,'Diags Raw Data'!$D$6:$D$4790,$A39,'Diags Raw Data'!$M$6:$M$4790,"Legacy")</f>
        <v>0</v>
      </c>
      <c r="K39" s="228">
        <f>SUMIFS('Diags Raw Data'!$W$6:$W$4790,'Diags Raw Data'!$D$6:$D$4790,$A39,'Diags Raw Data'!$M$6:$M$4790,"Legacy")</f>
        <v>0</v>
      </c>
      <c r="L39" s="244" t="str">
        <f t="shared" si="16"/>
        <v>---</v>
      </c>
      <c r="M39" s="229" t="str">
        <f t="shared" si="17"/>
        <v>---</v>
      </c>
      <c r="N39" s="238" t="str">
        <f t="shared" si="18"/>
        <v>---</v>
      </c>
      <c r="O39" s="214">
        <f>SUMIFS('Diags Raw Data'!$Z$6:$Z$4790,'Diags Raw Data'!$D$6:$D$4790,$A39,'Diags Raw Data'!$M$6:$M$4790,"Legacy")</f>
        <v>0</v>
      </c>
      <c r="P39" s="204">
        <f>SUMIFS('Diags Raw Data'!$AA$6:$AA$4790,'Diags Raw Data'!$D$6:$D$4790,$A39,'Diags Raw Data'!$M$6:$M$4790,"Legacy")</f>
        <v>0</v>
      </c>
      <c r="Q39" s="206">
        <f>SUMIFS('Diags Raw Data'!$AB$6:$AB$4790,'Diags Raw Data'!$D$6:$D$4790,$A39,'Diags Raw Data'!$M$6:$M$4790,"Legacy")</f>
        <v>0</v>
      </c>
      <c r="R39" s="204">
        <f>SUMIFS('Diags Raw Data'!$AC$6:$AC$4790,'Diags Raw Data'!$D$6:$D$4790,$A39,'Diags Raw Data'!$M$6:$M$4790,"Legacy")</f>
        <v>0</v>
      </c>
      <c r="S39" s="206">
        <f>SUMIFS('Diags Raw Data'!$AD$6:$AD$4790,'Diags Raw Data'!$D$6:$D$4790,$A39,'Diags Raw Data'!$M$6:$M$4790,"Legacy")</f>
        <v>0</v>
      </c>
      <c r="T39" s="205" t="str">
        <f t="shared" si="19"/>
        <v>---</v>
      </c>
      <c r="U39" s="230" t="str">
        <f t="shared" si="20"/>
        <v>---</v>
      </c>
      <c r="V39" s="232" t="str">
        <f t="shared" si="21"/>
        <v>---</v>
      </c>
    </row>
    <row r="40" spans="1:22" x14ac:dyDescent="0.25">
      <c r="A40" s="333" t="s">
        <v>953</v>
      </c>
      <c r="B40" s="253">
        <f>SUMIFS('Diags Raw Data'!$L$6:$L$4790,'Diags Raw Data'!$D$6:$D$4790,$A40,'Diags Raw Data'!$M$6:$M$4790,"Legacy")</f>
        <v>0</v>
      </c>
      <c r="C40" s="243">
        <f>SUMIFS('Diags Raw Data'!$R$6:$R$4790,'Diags Raw Data'!$D$6:$D$4790,$A40,'Diags Raw Data'!$M$6:$M$4790,"Legacy")</f>
        <v>0</v>
      </c>
      <c r="D40" s="243">
        <f>SUMIFS('Diags Raw Data'!$K$6:$K$4790,'Diags Raw Data'!$D$6:$D$4790,$A40,'Diags Raw Data'!$M$6:$M$4790,"Legacy")</f>
        <v>0</v>
      </c>
      <c r="E40" s="243">
        <f>SUMIFS('Diags Raw Data'!$O$6:$O$4790,'Diags Raw Data'!$D$6:$D$4790,$A40,'Diags Raw Data'!$M$6:$M$4790,"Legacy")</f>
        <v>0</v>
      </c>
      <c r="F40" s="249" t="str">
        <f t="shared" si="15"/>
        <v>---</v>
      </c>
      <c r="G40" s="231">
        <f>SUMIFS('Diags Raw Data'!$S$6:$S$4790,'Diags Raw Data'!$D$6:$D$4790,$A40,'Diags Raw Data'!$M$6:$M$4790,"Legacy")</f>
        <v>0</v>
      </c>
      <c r="H40" s="227">
        <f>SUMIFS('Diags Raw Data'!$T$6:$T$4790,'Diags Raw Data'!$D$6:$D$4790,$A40,'Diags Raw Data'!$M$6:$M$4790,"Legacy")</f>
        <v>0</v>
      </c>
      <c r="I40" s="228">
        <f>SUMIFS('Diags Raw Data'!$U$6:$U$4790,'Diags Raw Data'!$D$6:$D$4790,$A40,'Diags Raw Data'!$M$6:$M$4790,"Legacy")</f>
        <v>0</v>
      </c>
      <c r="J40" s="227">
        <f>SUMIFS('Diags Raw Data'!$V$6:$V$4790,'Diags Raw Data'!$D$6:$D$4790,$A40,'Diags Raw Data'!$M$6:$M$4790,"Legacy")</f>
        <v>0</v>
      </c>
      <c r="K40" s="228">
        <f>SUMIFS('Diags Raw Data'!$W$6:$W$4790,'Diags Raw Data'!$D$6:$D$4790,$A40,'Diags Raw Data'!$M$6:$M$4790,"Legacy")</f>
        <v>0</v>
      </c>
      <c r="L40" s="244" t="str">
        <f t="shared" si="16"/>
        <v>---</v>
      </c>
      <c r="M40" s="229" t="str">
        <f t="shared" si="17"/>
        <v>---</v>
      </c>
      <c r="N40" s="238" t="str">
        <f t="shared" si="18"/>
        <v>---</v>
      </c>
      <c r="O40" s="214">
        <f>SUMIFS('Diags Raw Data'!$Z$6:$Z$4790,'Diags Raw Data'!$D$6:$D$4790,$A40,'Diags Raw Data'!$M$6:$M$4790,"Legacy")</f>
        <v>0</v>
      </c>
      <c r="P40" s="204">
        <f>SUMIFS('Diags Raw Data'!$AA$6:$AA$4790,'Diags Raw Data'!$D$6:$D$4790,$A40,'Diags Raw Data'!$M$6:$M$4790,"Legacy")</f>
        <v>0</v>
      </c>
      <c r="Q40" s="206">
        <f>SUMIFS('Diags Raw Data'!$AB$6:$AB$4790,'Diags Raw Data'!$D$6:$D$4790,$A40,'Diags Raw Data'!$M$6:$M$4790,"Legacy")</f>
        <v>0</v>
      </c>
      <c r="R40" s="204">
        <f>SUMIFS('Diags Raw Data'!$AC$6:$AC$4790,'Diags Raw Data'!$D$6:$D$4790,$A40,'Diags Raw Data'!$M$6:$M$4790,"Legacy")</f>
        <v>0</v>
      </c>
      <c r="S40" s="206">
        <f>SUMIFS('Diags Raw Data'!$AD$6:$AD$4790,'Diags Raw Data'!$D$6:$D$4790,$A40,'Diags Raw Data'!$M$6:$M$4790,"Legacy")</f>
        <v>0</v>
      </c>
      <c r="T40" s="205" t="str">
        <f t="shared" si="19"/>
        <v>---</v>
      </c>
      <c r="U40" s="230" t="str">
        <f t="shared" si="20"/>
        <v>---</v>
      </c>
      <c r="V40" s="232" t="str">
        <f t="shared" si="21"/>
        <v>---</v>
      </c>
    </row>
    <row r="41" spans="1:22" ht="15.75" thickBot="1" x14ac:dyDescent="0.3">
      <c r="A41" s="334" t="s">
        <v>954</v>
      </c>
      <c r="B41" s="254">
        <f>SUMIFS('Diags Raw Data'!$L$6:$L$4790,'Diags Raw Data'!$D$6:$D$4790,$A41,'Diags Raw Data'!$M$6:$M$4790,"Legacy")</f>
        <v>0</v>
      </c>
      <c r="C41" s="245">
        <f>SUMIFS('Diags Raw Data'!$R$6:$R$4790,'Diags Raw Data'!$D$6:$D$4790,$A41,'Diags Raw Data'!$M$6:$M$4790,"Legacy")</f>
        <v>0</v>
      </c>
      <c r="D41" s="245">
        <f>SUMIFS('Diags Raw Data'!$K$6:$K$4790,'Diags Raw Data'!$D$6:$D$4790,$A41,'Diags Raw Data'!$M$6:$M$4790,"Legacy")</f>
        <v>0</v>
      </c>
      <c r="E41" s="245">
        <f>SUMIFS('Diags Raw Data'!$O$6:$O$4790,'Diags Raw Data'!$D$6:$D$4790,$A41,'Diags Raw Data'!$M$6:$M$4790,"Legacy")</f>
        <v>0</v>
      </c>
      <c r="F41" s="250" t="str">
        <f t="shared" si="15"/>
        <v>---</v>
      </c>
      <c r="G41" s="233">
        <f>SUMIFS('Diags Raw Data'!$S$6:$S$4790,'Diags Raw Data'!$D$6:$D$4790,$A41,'Diags Raw Data'!$M$6:$M$4790,"Legacy")</f>
        <v>0</v>
      </c>
      <c r="H41" s="234">
        <f>SUMIFS('Diags Raw Data'!$T$6:$T$4790,'Diags Raw Data'!$D$6:$D$4790,$A41,'Diags Raw Data'!$M$6:$M$4790,"Legacy")</f>
        <v>0</v>
      </c>
      <c r="I41" s="235">
        <f>SUMIFS('Diags Raw Data'!$U$6:$U$4790,'Diags Raw Data'!$D$6:$D$4790,$A41,'Diags Raw Data'!$M$6:$M$4790,"Legacy")</f>
        <v>0</v>
      </c>
      <c r="J41" s="234">
        <f>SUMIFS('Diags Raw Data'!$V$6:$V$4790,'Diags Raw Data'!$D$6:$D$4790,$A41,'Diags Raw Data'!$M$6:$M$4790,"Legacy")</f>
        <v>0</v>
      </c>
      <c r="K41" s="235">
        <f>SUMIFS('Diags Raw Data'!$W$6:$W$4790,'Diags Raw Data'!$D$6:$D$4790,$A41,'Diags Raw Data'!$M$6:$M$4790,"Legacy")</f>
        <v>0</v>
      </c>
      <c r="L41" s="246" t="str">
        <f t="shared" si="16"/>
        <v>---</v>
      </c>
      <c r="M41" s="236" t="str">
        <f t="shared" si="17"/>
        <v>---</v>
      </c>
      <c r="N41" s="239" t="str">
        <f t="shared" si="18"/>
        <v>---</v>
      </c>
      <c r="O41" s="215">
        <f>SUMIFS('Diags Raw Data'!$Z$6:$Z$4790,'Diags Raw Data'!$D$6:$D$4790,$A41,'Diags Raw Data'!$M$6:$M$4790,"Legacy")</f>
        <v>0</v>
      </c>
      <c r="P41" s="207">
        <f>SUMIFS('Diags Raw Data'!$AA$6:$AA$4790,'Diags Raw Data'!$D$6:$D$4790,$A41,'Diags Raw Data'!$M$6:$M$4790,"Legacy")</f>
        <v>0</v>
      </c>
      <c r="Q41" s="209">
        <f>SUMIFS('Diags Raw Data'!$AB$6:$AB$4790,'Diags Raw Data'!$D$6:$D$4790,$A41,'Diags Raw Data'!$M$6:$M$4790,"Legacy")</f>
        <v>0</v>
      </c>
      <c r="R41" s="207">
        <f>SUMIFS('Diags Raw Data'!$AC$6:$AC$4790,'Diags Raw Data'!$D$6:$D$4790,$A41,'Diags Raw Data'!$M$6:$M$4790,"Legacy")</f>
        <v>0</v>
      </c>
      <c r="S41" s="209">
        <f>SUMIFS('Diags Raw Data'!$AD$6:$AD$4790,'Diags Raw Data'!$D$6:$D$4790,$A41,'Diags Raw Data'!$M$6:$M$4790,"Legacy")</f>
        <v>0</v>
      </c>
      <c r="T41" s="208" t="str">
        <f t="shared" si="19"/>
        <v>---</v>
      </c>
      <c r="U41" s="240" t="str">
        <f t="shared" si="20"/>
        <v>---</v>
      </c>
      <c r="V41" s="237" t="str">
        <f t="shared" si="21"/>
        <v>---</v>
      </c>
    </row>
    <row r="42" spans="1:22" ht="16.5" thickBot="1" x14ac:dyDescent="0.3">
      <c r="A42" s="272" t="s">
        <v>958</v>
      </c>
      <c r="B42" s="257">
        <f>SUM(B32:B41)</f>
        <v>0</v>
      </c>
      <c r="C42" s="258">
        <f>SUM(C32:C41)</f>
        <v>0</v>
      </c>
      <c r="D42" s="258">
        <f>SUM(D32:D41)</f>
        <v>0</v>
      </c>
      <c r="E42" s="258">
        <f>SUM(E32:E41)</f>
        <v>0</v>
      </c>
      <c r="F42" s="259" t="e" cm="1">
        <f t="array" ref="F42">SUMPRODUCT(--(ISNUMBER(SEARCH("Legacy",'Diags Raw Data'!$M$6:$M$4790))),'Diags Raw Data'!$K$6:$K$4790,'Diags Raw Data'!$P$6:$P$4790)/D42</f>
        <v>#DIV/0!</v>
      </c>
      <c r="G42" s="260">
        <f>SUM(G32:G41)</f>
        <v>0</v>
      </c>
      <c r="H42" s="261">
        <f>SUM(H32:H41)</f>
        <v>0</v>
      </c>
      <c r="I42" s="262">
        <f>SUM(I32:I41)</f>
        <v>0</v>
      </c>
      <c r="J42" s="261">
        <f>SUM(J32:J41)</f>
        <v>0</v>
      </c>
      <c r="K42" s="262">
        <f>SUM(K32:K41)</f>
        <v>0</v>
      </c>
      <c r="L42" s="263" t="str">
        <f>IF(NOT($C42=0), G42/$C42, "---")</f>
        <v>---</v>
      </c>
      <c r="M42" s="264" t="str">
        <f t="shared" si="17"/>
        <v>---</v>
      </c>
      <c r="N42" s="265" t="str">
        <f t="shared" si="18"/>
        <v>---</v>
      </c>
      <c r="O42" s="266">
        <f>SUM(O32:O41)</f>
        <v>0</v>
      </c>
      <c r="P42" s="267">
        <f>SUM(P32:P41)</f>
        <v>0</v>
      </c>
      <c r="Q42" s="268">
        <f>SUM(Q32:Q41)</f>
        <v>0</v>
      </c>
      <c r="R42" s="267">
        <f>SUM(R32:R41)</f>
        <v>0</v>
      </c>
      <c r="S42" s="268">
        <f>SUM(S32:S41)</f>
        <v>0</v>
      </c>
      <c r="T42" s="269" t="str">
        <f>IF(NOT($B42=0), O42/$B42, "---")</f>
        <v>---</v>
      </c>
      <c r="U42" s="270" t="str">
        <f t="shared" si="20"/>
        <v>---</v>
      </c>
      <c r="V42" s="271" t="str">
        <f>IF(NOT($B42=0), (P42+Q42)/$B42, "---")</f>
        <v>---</v>
      </c>
    </row>
    <row r="43" spans="1:22" x14ac:dyDescent="0.25">
      <c r="A43" s="247"/>
      <c r="B43" s="247"/>
      <c r="C43" s="247"/>
      <c r="D43" s="247"/>
      <c r="E43" s="247"/>
      <c r="F43" s="247"/>
      <c r="G43" s="247"/>
      <c r="H43" s="247"/>
      <c r="I43" s="247"/>
      <c r="J43" s="247"/>
      <c r="K43" s="247"/>
      <c r="L43" s="247"/>
      <c r="M43" s="247"/>
      <c r="N43" s="247"/>
      <c r="O43" s="247"/>
      <c r="P43" s="247"/>
      <c r="Q43" s="247"/>
      <c r="R43" s="247"/>
      <c r="S43" s="247"/>
      <c r="T43" s="247"/>
      <c r="U43" s="247"/>
      <c r="V43" s="247"/>
    </row>
    <row r="45" spans="1:22" x14ac:dyDescent="0.25">
      <c r="F45" s="130"/>
    </row>
    <row r="48" spans="1:22" x14ac:dyDescent="0.25">
      <c r="F48" s="412"/>
    </row>
    <row r="49" spans="6:6" x14ac:dyDescent="0.25">
      <c r="F49" s="411"/>
    </row>
    <row r="50" spans="6:6" x14ac:dyDescent="0.25">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37"/>
  <sheetViews>
    <sheetView workbookViewId="0">
      <pane ySplit="2" topLeftCell="A3" activePane="bottomLeft" state="frozen"/>
      <selection pane="bottomLeft" activeCell="A5" sqref="A5"/>
    </sheetView>
  </sheetViews>
  <sheetFormatPr defaultRowHeight="15" x14ac:dyDescent="0.2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91" t="s">
        <v>959</v>
      </c>
      <c r="B1" s="692"/>
      <c r="C1" s="692"/>
      <c r="D1" s="692"/>
      <c r="E1" s="692"/>
      <c r="F1" s="692"/>
      <c r="G1" s="692"/>
      <c r="H1" s="692"/>
      <c r="I1" s="693"/>
    </row>
    <row r="2" spans="1:9" s="79" customFormat="1" ht="15.75" thickBot="1" x14ac:dyDescent="0.3">
      <c r="A2" s="590" t="s">
        <v>77</v>
      </c>
      <c r="B2" s="591" t="s">
        <v>81</v>
      </c>
      <c r="C2" s="592" t="s">
        <v>96</v>
      </c>
      <c r="D2" s="592" t="s">
        <v>202</v>
      </c>
      <c r="E2" s="593" t="s">
        <v>1</v>
      </c>
    </row>
    <row r="3" spans="1:9" ht="15.75" thickBot="1" x14ac:dyDescent="0.3">
      <c r="A3" s="335" t="s">
        <v>308</v>
      </c>
      <c r="B3" s="336" t="s">
        <v>960</v>
      </c>
      <c r="C3" s="530" t="s">
        <v>280</v>
      </c>
      <c r="D3" s="530" t="s">
        <v>34</v>
      </c>
      <c r="E3" s="533" t="s">
        <v>33</v>
      </c>
      <c r="G3" s="290" t="s">
        <v>77</v>
      </c>
      <c r="H3" s="291" t="s">
        <v>961</v>
      </c>
      <c r="I3" s="526">
        <f>COUNTA(A3:A3986)</f>
        <v>135</v>
      </c>
    </row>
    <row r="4" spans="1:9" x14ac:dyDescent="0.25">
      <c r="A4" s="337" t="s">
        <v>316</v>
      </c>
      <c r="B4" s="338" t="s">
        <v>962</v>
      </c>
      <c r="C4" s="531" t="s">
        <v>280</v>
      </c>
      <c r="D4" s="531" t="s">
        <v>34</v>
      </c>
      <c r="E4" s="534" t="s">
        <v>33</v>
      </c>
      <c r="G4" s="683" t="s">
        <v>96</v>
      </c>
      <c r="H4" s="292" t="s">
        <v>963</v>
      </c>
      <c r="I4" s="527">
        <f>COUNTIFS($C3:$C3986,"P1")</f>
        <v>0</v>
      </c>
    </row>
    <row r="5" spans="1:9" x14ac:dyDescent="0.25">
      <c r="A5" s="337" t="s">
        <v>320</v>
      </c>
      <c r="B5" s="338" t="s">
        <v>964</v>
      </c>
      <c r="C5" s="531" t="s">
        <v>280</v>
      </c>
      <c r="D5" s="531" t="s">
        <v>34</v>
      </c>
      <c r="E5" s="534" t="s">
        <v>33</v>
      </c>
      <c r="G5" s="684"/>
      <c r="H5" s="293" t="s">
        <v>965</v>
      </c>
      <c r="I5" s="528">
        <f>COUNTIFS($C3:$C3986,"P2")</f>
        <v>135</v>
      </c>
    </row>
    <row r="6" spans="1:9" ht="15.75" thickBot="1" x14ac:dyDescent="0.3">
      <c r="A6" s="337" t="s">
        <v>325</v>
      </c>
      <c r="B6" s="338" t="s">
        <v>966</v>
      </c>
      <c r="C6" s="531" t="s">
        <v>280</v>
      </c>
      <c r="D6" s="531" t="s">
        <v>34</v>
      </c>
      <c r="E6" s="534" t="s">
        <v>33</v>
      </c>
      <c r="G6" s="685"/>
      <c r="H6" s="294" t="s">
        <v>967</v>
      </c>
      <c r="I6" s="529">
        <f>COUNTIFS($C3:$C3986,"P3")</f>
        <v>0</v>
      </c>
    </row>
    <row r="7" spans="1:9" x14ac:dyDescent="0.25">
      <c r="A7" s="337" t="s">
        <v>331</v>
      </c>
      <c r="B7" s="338" t="s">
        <v>968</v>
      </c>
      <c r="C7" s="531" t="s">
        <v>280</v>
      </c>
      <c r="D7" s="531" t="s">
        <v>34</v>
      </c>
      <c r="E7" s="534" t="s">
        <v>33</v>
      </c>
      <c r="G7" s="686" t="s">
        <v>202</v>
      </c>
      <c r="H7" s="292" t="s">
        <v>969</v>
      </c>
      <c r="I7" s="527">
        <f>COUNTIFS($D3:$D3986,"Diagnostics")</f>
        <v>135</v>
      </c>
    </row>
    <row r="8" spans="1:9" x14ac:dyDescent="0.25">
      <c r="A8" s="337" t="s">
        <v>336</v>
      </c>
      <c r="B8" s="338" t="s">
        <v>970</v>
      </c>
      <c r="C8" s="531" t="s">
        <v>280</v>
      </c>
      <c r="D8" s="531" t="s">
        <v>34</v>
      </c>
      <c r="E8" s="534" t="s">
        <v>33</v>
      </c>
      <c r="G8" s="687"/>
      <c r="H8" s="293" t="s">
        <v>971</v>
      </c>
      <c r="I8" s="528">
        <f>COUNTIFS($D3:$D3986,"Driver")</f>
        <v>0</v>
      </c>
    </row>
    <row r="9" spans="1:9" x14ac:dyDescent="0.25">
      <c r="A9" s="337" t="s">
        <v>342</v>
      </c>
      <c r="B9" s="338" t="s">
        <v>972</v>
      </c>
      <c r="C9" s="531" t="s">
        <v>280</v>
      </c>
      <c r="D9" s="531" t="s">
        <v>34</v>
      </c>
      <c r="E9" s="534" t="s">
        <v>33</v>
      </c>
      <c r="G9" s="687"/>
      <c r="H9" s="293" t="s">
        <v>973</v>
      </c>
      <c r="I9" s="528">
        <f>COUNTIFS($D3:$D3986,"IPSE")</f>
        <v>0</v>
      </c>
    </row>
    <row r="10" spans="1:9" ht="15.75" thickBot="1" x14ac:dyDescent="0.3">
      <c r="A10" s="337" t="s">
        <v>347</v>
      </c>
      <c r="B10" s="338" t="s">
        <v>974</v>
      </c>
      <c r="C10" s="531" t="s">
        <v>280</v>
      </c>
      <c r="D10" s="531" t="s">
        <v>34</v>
      </c>
      <c r="E10" s="534" t="s">
        <v>33</v>
      </c>
      <c r="G10" s="688"/>
      <c r="H10" s="294" t="s">
        <v>975</v>
      </c>
      <c r="I10" s="529">
        <f>COUNTIFS($D3:$D3986,"N/A")</f>
        <v>0</v>
      </c>
    </row>
    <row r="11" spans="1:9" x14ac:dyDescent="0.25">
      <c r="A11" s="337" t="s">
        <v>370</v>
      </c>
      <c r="B11" s="338" t="s">
        <v>976</v>
      </c>
      <c r="C11" s="531" t="s">
        <v>280</v>
      </c>
      <c r="D11" s="531" t="s">
        <v>34</v>
      </c>
      <c r="E11" s="534" t="s">
        <v>33</v>
      </c>
      <c r="G11" s="686" t="s">
        <v>1</v>
      </c>
      <c r="H11" s="292" t="s">
        <v>977</v>
      </c>
      <c r="I11" s="527">
        <f>COUNTIFS($E3:$E3986,"Legacy")</f>
        <v>135</v>
      </c>
    </row>
    <row r="12" spans="1:9" x14ac:dyDescent="0.25">
      <c r="A12" s="337" t="s">
        <v>376</v>
      </c>
      <c r="B12" s="338" t="s">
        <v>978</v>
      </c>
      <c r="C12" s="531" t="s">
        <v>280</v>
      </c>
      <c r="D12" s="531" t="s">
        <v>34</v>
      </c>
      <c r="E12" s="534" t="s">
        <v>33</v>
      </c>
      <c r="G12" s="687"/>
      <c r="H12" s="293" t="s">
        <v>979</v>
      </c>
      <c r="I12" s="528">
        <f>COUNTIFS($E3:$E3986,"Delta")</f>
        <v>0</v>
      </c>
    </row>
    <row r="13" spans="1:9" ht="15.75" thickBot="1" x14ac:dyDescent="0.3">
      <c r="A13" s="337" t="s">
        <v>386</v>
      </c>
      <c r="B13" s="338" t="s">
        <v>980</v>
      </c>
      <c r="C13" s="531" t="s">
        <v>280</v>
      </c>
      <c r="D13" s="531" t="s">
        <v>34</v>
      </c>
      <c r="E13" s="534" t="s">
        <v>33</v>
      </c>
      <c r="G13" s="688"/>
      <c r="H13" s="294" t="s">
        <v>981</v>
      </c>
      <c r="I13" s="529">
        <f>COUNTIFS($E3:$E3986,"New")</f>
        <v>0</v>
      </c>
    </row>
    <row r="14" spans="1:9" ht="15.75" thickBot="1" x14ac:dyDescent="0.3">
      <c r="A14" s="337" t="s">
        <v>389</v>
      </c>
      <c r="B14" s="338" t="s">
        <v>982</v>
      </c>
      <c r="C14" s="531" t="s">
        <v>280</v>
      </c>
      <c r="D14" s="531" t="s">
        <v>34</v>
      </c>
      <c r="E14" s="534" t="s">
        <v>33</v>
      </c>
      <c r="G14" s="410" t="s">
        <v>207</v>
      </c>
      <c r="H14" s="689"/>
      <c r="I14" s="690"/>
    </row>
    <row r="15" spans="1:9" x14ac:dyDescent="0.25">
      <c r="A15" s="337" t="s">
        <v>391</v>
      </c>
      <c r="B15" s="338" t="s">
        <v>983</v>
      </c>
      <c r="C15" s="531" t="s">
        <v>280</v>
      </c>
      <c r="D15" s="531" t="s">
        <v>34</v>
      </c>
      <c r="E15" s="534" t="s">
        <v>33</v>
      </c>
    </row>
    <row r="16" spans="1:9" x14ac:dyDescent="0.25">
      <c r="A16" s="337" t="s">
        <v>396</v>
      </c>
      <c r="B16" s="338" t="s">
        <v>984</v>
      </c>
      <c r="C16" s="531" t="s">
        <v>280</v>
      </c>
      <c r="D16" s="531" t="s">
        <v>34</v>
      </c>
      <c r="E16" s="534" t="s">
        <v>33</v>
      </c>
    </row>
    <row r="17" spans="1:5" x14ac:dyDescent="0.25">
      <c r="A17" s="337" t="s">
        <v>401</v>
      </c>
      <c r="B17" s="338" t="s">
        <v>985</v>
      </c>
      <c r="C17" s="531" t="s">
        <v>280</v>
      </c>
      <c r="D17" s="531" t="s">
        <v>34</v>
      </c>
      <c r="E17" s="534" t="s">
        <v>33</v>
      </c>
    </row>
    <row r="18" spans="1:5" x14ac:dyDescent="0.25">
      <c r="A18" s="337" t="s">
        <v>404</v>
      </c>
      <c r="B18" s="338" t="s">
        <v>986</v>
      </c>
      <c r="C18" s="531" t="s">
        <v>280</v>
      </c>
      <c r="D18" s="531" t="s">
        <v>34</v>
      </c>
      <c r="E18" s="534" t="s">
        <v>33</v>
      </c>
    </row>
    <row r="19" spans="1:5" x14ac:dyDescent="0.25">
      <c r="A19" s="337" t="s">
        <v>411</v>
      </c>
      <c r="B19" s="338" t="s">
        <v>987</v>
      </c>
      <c r="C19" s="531" t="s">
        <v>280</v>
      </c>
      <c r="D19" s="531" t="s">
        <v>34</v>
      </c>
      <c r="E19" s="534" t="s">
        <v>33</v>
      </c>
    </row>
    <row r="20" spans="1:5" x14ac:dyDescent="0.25">
      <c r="A20" s="337" t="s">
        <v>415</v>
      </c>
      <c r="B20" s="338" t="s">
        <v>988</v>
      </c>
      <c r="C20" s="531" t="s">
        <v>280</v>
      </c>
      <c r="D20" s="531" t="s">
        <v>34</v>
      </c>
      <c r="E20" s="534" t="s">
        <v>33</v>
      </c>
    </row>
    <row r="21" spans="1:5" x14ac:dyDescent="0.25">
      <c r="A21" s="337" t="s">
        <v>418</v>
      </c>
      <c r="B21" s="338" t="s">
        <v>989</v>
      </c>
      <c r="C21" s="531" t="s">
        <v>280</v>
      </c>
      <c r="D21" s="531" t="s">
        <v>34</v>
      </c>
      <c r="E21" s="534" t="s">
        <v>33</v>
      </c>
    </row>
    <row r="22" spans="1:5" x14ac:dyDescent="0.25">
      <c r="A22" s="337" t="s">
        <v>424</v>
      </c>
      <c r="B22" s="338" t="s">
        <v>990</v>
      </c>
      <c r="C22" s="531" t="s">
        <v>280</v>
      </c>
      <c r="D22" s="531" t="s">
        <v>34</v>
      </c>
      <c r="E22" s="534" t="s">
        <v>33</v>
      </c>
    </row>
    <row r="23" spans="1:5" x14ac:dyDescent="0.25">
      <c r="A23" s="337" t="s">
        <v>430</v>
      </c>
      <c r="B23" s="338" t="s">
        <v>991</v>
      </c>
      <c r="C23" s="531" t="s">
        <v>280</v>
      </c>
      <c r="D23" s="531" t="s">
        <v>34</v>
      </c>
      <c r="E23" s="534" t="s">
        <v>33</v>
      </c>
    </row>
    <row r="24" spans="1:5" x14ac:dyDescent="0.25">
      <c r="A24" s="337" t="s">
        <v>433</v>
      </c>
      <c r="B24" s="338" t="s">
        <v>992</v>
      </c>
      <c r="C24" s="531" t="s">
        <v>280</v>
      </c>
      <c r="D24" s="531" t="s">
        <v>34</v>
      </c>
      <c r="E24" s="534" t="s">
        <v>33</v>
      </c>
    </row>
    <row r="25" spans="1:5" x14ac:dyDescent="0.25">
      <c r="A25" s="337" t="s">
        <v>439</v>
      </c>
      <c r="B25" s="338" t="s">
        <v>993</v>
      </c>
      <c r="C25" s="531" t="s">
        <v>280</v>
      </c>
      <c r="D25" s="531" t="s">
        <v>34</v>
      </c>
      <c r="E25" s="534" t="s">
        <v>33</v>
      </c>
    </row>
    <row r="26" spans="1:5" x14ac:dyDescent="0.25">
      <c r="A26" s="337" t="s">
        <v>444</v>
      </c>
      <c r="B26" s="338" t="s">
        <v>994</v>
      </c>
      <c r="C26" s="531" t="s">
        <v>280</v>
      </c>
      <c r="D26" s="531" t="s">
        <v>34</v>
      </c>
      <c r="E26" s="534" t="s">
        <v>33</v>
      </c>
    </row>
    <row r="27" spans="1:5" x14ac:dyDescent="0.25">
      <c r="A27" s="337" t="s">
        <v>449</v>
      </c>
      <c r="B27" s="338" t="s">
        <v>995</v>
      </c>
      <c r="C27" s="531" t="s">
        <v>280</v>
      </c>
      <c r="D27" s="531" t="s">
        <v>34</v>
      </c>
      <c r="E27" s="534" t="s">
        <v>33</v>
      </c>
    </row>
    <row r="28" spans="1:5" x14ac:dyDescent="0.25">
      <c r="A28" s="337" t="s">
        <v>455</v>
      </c>
      <c r="B28" s="338" t="s">
        <v>996</v>
      </c>
      <c r="C28" s="531" t="s">
        <v>280</v>
      </c>
      <c r="D28" s="531" t="s">
        <v>34</v>
      </c>
      <c r="E28" s="534" t="s">
        <v>33</v>
      </c>
    </row>
    <row r="29" spans="1:5" x14ac:dyDescent="0.25">
      <c r="A29" s="337" t="s">
        <v>460</v>
      </c>
      <c r="B29" s="338" t="s">
        <v>997</v>
      </c>
      <c r="C29" s="531" t="s">
        <v>280</v>
      </c>
      <c r="D29" s="531" t="s">
        <v>34</v>
      </c>
      <c r="E29" s="534" t="s">
        <v>33</v>
      </c>
    </row>
    <row r="30" spans="1:5" x14ac:dyDescent="0.25">
      <c r="A30" s="337" t="s">
        <v>463</v>
      </c>
      <c r="B30" s="338" t="s">
        <v>998</v>
      </c>
      <c r="C30" s="531" t="s">
        <v>280</v>
      </c>
      <c r="D30" s="531" t="s">
        <v>34</v>
      </c>
      <c r="E30" s="534" t="s">
        <v>33</v>
      </c>
    </row>
    <row r="31" spans="1:5" x14ac:dyDescent="0.25">
      <c r="A31" s="337" t="s">
        <v>468</v>
      </c>
      <c r="B31" s="338" t="s">
        <v>999</v>
      </c>
      <c r="C31" s="531" t="s">
        <v>280</v>
      </c>
      <c r="D31" s="531" t="s">
        <v>34</v>
      </c>
      <c r="E31" s="534" t="s">
        <v>33</v>
      </c>
    </row>
    <row r="32" spans="1:5" x14ac:dyDescent="0.25">
      <c r="A32" s="337" t="s">
        <v>470</v>
      </c>
      <c r="B32" s="338" t="s">
        <v>1000</v>
      </c>
      <c r="C32" s="531" t="s">
        <v>280</v>
      </c>
      <c r="D32" s="531" t="s">
        <v>34</v>
      </c>
      <c r="E32" s="534" t="s">
        <v>33</v>
      </c>
    </row>
    <row r="33" spans="1:5" x14ac:dyDescent="0.25">
      <c r="A33" s="337" t="s">
        <v>474</v>
      </c>
      <c r="B33" s="338" t="s">
        <v>1001</v>
      </c>
      <c r="C33" s="531" t="s">
        <v>280</v>
      </c>
      <c r="D33" s="531" t="s">
        <v>34</v>
      </c>
      <c r="E33" s="534" t="s">
        <v>33</v>
      </c>
    </row>
    <row r="34" spans="1:5" x14ac:dyDescent="0.25">
      <c r="A34" s="337" t="s">
        <v>477</v>
      </c>
      <c r="B34" s="338" t="s">
        <v>1002</v>
      </c>
      <c r="C34" s="531" t="s">
        <v>280</v>
      </c>
      <c r="D34" s="531" t="s">
        <v>34</v>
      </c>
      <c r="E34" s="534" t="s">
        <v>33</v>
      </c>
    </row>
    <row r="35" spans="1:5" x14ac:dyDescent="0.25">
      <c r="A35" s="337" t="s">
        <v>483</v>
      </c>
      <c r="B35" s="338" t="s">
        <v>1003</v>
      </c>
      <c r="C35" s="531" t="s">
        <v>280</v>
      </c>
      <c r="D35" s="531" t="s">
        <v>34</v>
      </c>
      <c r="E35" s="534" t="s">
        <v>33</v>
      </c>
    </row>
    <row r="36" spans="1:5" x14ac:dyDescent="0.25">
      <c r="A36" s="337" t="s">
        <v>489</v>
      </c>
      <c r="B36" s="338" t="s">
        <v>1004</v>
      </c>
      <c r="C36" s="531" t="s">
        <v>280</v>
      </c>
      <c r="D36" s="531" t="s">
        <v>34</v>
      </c>
      <c r="E36" s="534" t="s">
        <v>33</v>
      </c>
    </row>
    <row r="37" spans="1:5" x14ac:dyDescent="0.25">
      <c r="A37" s="337" t="s">
        <v>494</v>
      </c>
      <c r="B37" s="338" t="s">
        <v>1005</v>
      </c>
      <c r="C37" s="531" t="s">
        <v>280</v>
      </c>
      <c r="D37" s="531" t="s">
        <v>34</v>
      </c>
      <c r="E37" s="534" t="s">
        <v>33</v>
      </c>
    </row>
    <row r="38" spans="1:5" x14ac:dyDescent="0.25">
      <c r="A38" s="337" t="s">
        <v>496</v>
      </c>
      <c r="B38" s="338" t="s">
        <v>1006</v>
      </c>
      <c r="C38" s="531" t="s">
        <v>280</v>
      </c>
      <c r="D38" s="531" t="s">
        <v>34</v>
      </c>
      <c r="E38" s="534" t="s">
        <v>33</v>
      </c>
    </row>
    <row r="39" spans="1:5" x14ac:dyDescent="0.25">
      <c r="A39" s="337" t="s">
        <v>507</v>
      </c>
      <c r="B39" s="338" t="s">
        <v>1007</v>
      </c>
      <c r="C39" s="531" t="s">
        <v>280</v>
      </c>
      <c r="D39" s="531" t="s">
        <v>34</v>
      </c>
      <c r="E39" s="534" t="s">
        <v>33</v>
      </c>
    </row>
    <row r="40" spans="1:5" x14ac:dyDescent="0.25">
      <c r="A40" s="337" t="s">
        <v>509</v>
      </c>
      <c r="B40" s="338" t="s">
        <v>1008</v>
      </c>
      <c r="C40" s="531" t="s">
        <v>280</v>
      </c>
      <c r="D40" s="531" t="s">
        <v>34</v>
      </c>
      <c r="E40" s="534" t="s">
        <v>33</v>
      </c>
    </row>
    <row r="41" spans="1:5" x14ac:dyDescent="0.25">
      <c r="A41" s="337" t="s">
        <v>514</v>
      </c>
      <c r="B41" s="338" t="s">
        <v>1009</v>
      </c>
      <c r="C41" s="531" t="s">
        <v>280</v>
      </c>
      <c r="D41" s="531" t="s">
        <v>34</v>
      </c>
      <c r="E41" s="534" t="s">
        <v>33</v>
      </c>
    </row>
    <row r="42" spans="1:5" x14ac:dyDescent="0.25">
      <c r="A42" s="337" t="s">
        <v>526</v>
      </c>
      <c r="B42" s="338" t="s">
        <v>1010</v>
      </c>
      <c r="C42" s="531" t="s">
        <v>280</v>
      </c>
      <c r="D42" s="531" t="s">
        <v>34</v>
      </c>
      <c r="E42" s="534" t="s">
        <v>33</v>
      </c>
    </row>
    <row r="43" spans="1:5" x14ac:dyDescent="0.25">
      <c r="A43" s="337" t="s">
        <v>533</v>
      </c>
      <c r="B43" s="338" t="s">
        <v>1011</v>
      </c>
      <c r="C43" s="531" t="s">
        <v>280</v>
      </c>
      <c r="D43" s="531" t="s">
        <v>34</v>
      </c>
      <c r="E43" s="534" t="s">
        <v>33</v>
      </c>
    </row>
    <row r="44" spans="1:5" x14ac:dyDescent="0.25">
      <c r="A44" s="337" t="s">
        <v>535</v>
      </c>
      <c r="B44" s="338" t="s">
        <v>1012</v>
      </c>
      <c r="C44" s="531" t="s">
        <v>280</v>
      </c>
      <c r="D44" s="531" t="s">
        <v>34</v>
      </c>
      <c r="E44" s="534" t="s">
        <v>33</v>
      </c>
    </row>
    <row r="45" spans="1:5" x14ac:dyDescent="0.25">
      <c r="A45" s="337" t="s">
        <v>538</v>
      </c>
      <c r="B45" s="338" t="s">
        <v>1013</v>
      </c>
      <c r="C45" s="531" t="s">
        <v>280</v>
      </c>
      <c r="D45" s="531" t="s">
        <v>34</v>
      </c>
      <c r="E45" s="534" t="s">
        <v>33</v>
      </c>
    </row>
    <row r="46" spans="1:5" x14ac:dyDescent="0.25">
      <c r="A46" s="337" t="s">
        <v>544</v>
      </c>
      <c r="B46" s="338" t="s">
        <v>1014</v>
      </c>
      <c r="C46" s="531" t="s">
        <v>280</v>
      </c>
      <c r="D46" s="531" t="s">
        <v>34</v>
      </c>
      <c r="E46" s="534" t="s">
        <v>33</v>
      </c>
    </row>
    <row r="47" spans="1:5" x14ac:dyDescent="0.25">
      <c r="A47" s="337" t="s">
        <v>547</v>
      </c>
      <c r="B47" s="338" t="s">
        <v>1015</v>
      </c>
      <c r="C47" s="531" t="s">
        <v>280</v>
      </c>
      <c r="D47" s="531" t="s">
        <v>34</v>
      </c>
      <c r="E47" s="534" t="s">
        <v>33</v>
      </c>
    </row>
    <row r="48" spans="1:5" x14ac:dyDescent="0.25">
      <c r="A48" s="337" t="s">
        <v>552</v>
      </c>
      <c r="B48" s="338" t="s">
        <v>1016</v>
      </c>
      <c r="C48" s="531" t="s">
        <v>280</v>
      </c>
      <c r="D48" s="531" t="s">
        <v>34</v>
      </c>
      <c r="E48" s="534" t="s">
        <v>33</v>
      </c>
    </row>
    <row r="49" spans="1:5" x14ac:dyDescent="0.25">
      <c r="A49" s="337" t="s">
        <v>558</v>
      </c>
      <c r="B49" s="338" t="s">
        <v>1017</v>
      </c>
      <c r="C49" s="531" t="s">
        <v>280</v>
      </c>
      <c r="D49" s="531" t="s">
        <v>34</v>
      </c>
      <c r="E49" s="534" t="s">
        <v>33</v>
      </c>
    </row>
    <row r="50" spans="1:5" x14ac:dyDescent="0.25">
      <c r="A50" s="337" t="s">
        <v>567</v>
      </c>
      <c r="B50" s="338" t="s">
        <v>1018</v>
      </c>
      <c r="C50" s="531" t="s">
        <v>280</v>
      </c>
      <c r="D50" s="531" t="s">
        <v>34</v>
      </c>
      <c r="E50" s="534" t="s">
        <v>33</v>
      </c>
    </row>
    <row r="51" spans="1:5" x14ac:dyDescent="0.25">
      <c r="A51" s="337" t="s">
        <v>569</v>
      </c>
      <c r="B51" s="338" t="s">
        <v>1019</v>
      </c>
      <c r="C51" s="531" t="s">
        <v>280</v>
      </c>
      <c r="D51" s="531" t="s">
        <v>34</v>
      </c>
      <c r="E51" s="534" t="s">
        <v>33</v>
      </c>
    </row>
    <row r="52" spans="1:5" x14ac:dyDescent="0.25">
      <c r="A52" s="337" t="s">
        <v>573</v>
      </c>
      <c r="B52" s="338" t="s">
        <v>1020</v>
      </c>
      <c r="C52" s="531" t="s">
        <v>280</v>
      </c>
      <c r="D52" s="531" t="s">
        <v>34</v>
      </c>
      <c r="E52" s="534" t="s">
        <v>33</v>
      </c>
    </row>
    <row r="53" spans="1:5" x14ac:dyDescent="0.25">
      <c r="A53" s="337" t="s">
        <v>579</v>
      </c>
      <c r="B53" s="338" t="s">
        <v>1021</v>
      </c>
      <c r="C53" s="531" t="s">
        <v>280</v>
      </c>
      <c r="D53" s="531" t="s">
        <v>34</v>
      </c>
      <c r="E53" s="534" t="s">
        <v>33</v>
      </c>
    </row>
    <row r="54" spans="1:5" x14ac:dyDescent="0.25">
      <c r="A54" s="337" t="s">
        <v>583</v>
      </c>
      <c r="B54" s="338" t="s">
        <v>1022</v>
      </c>
      <c r="C54" s="531" t="s">
        <v>280</v>
      </c>
      <c r="D54" s="531" t="s">
        <v>34</v>
      </c>
      <c r="E54" s="534" t="s">
        <v>33</v>
      </c>
    </row>
    <row r="55" spans="1:5" x14ac:dyDescent="0.25">
      <c r="A55" s="337" t="s">
        <v>587</v>
      </c>
      <c r="B55" s="338" t="s">
        <v>1023</v>
      </c>
      <c r="C55" s="531" t="s">
        <v>280</v>
      </c>
      <c r="D55" s="531" t="s">
        <v>34</v>
      </c>
      <c r="E55" s="534" t="s">
        <v>33</v>
      </c>
    </row>
    <row r="56" spans="1:5" x14ac:dyDescent="0.25">
      <c r="A56" s="337" t="s">
        <v>592</v>
      </c>
      <c r="B56" s="338" t="s">
        <v>1024</v>
      </c>
      <c r="C56" s="531" t="s">
        <v>280</v>
      </c>
      <c r="D56" s="531" t="s">
        <v>34</v>
      </c>
      <c r="E56" s="534" t="s">
        <v>33</v>
      </c>
    </row>
    <row r="57" spans="1:5" x14ac:dyDescent="0.25">
      <c r="A57" s="337" t="s">
        <v>595</v>
      </c>
      <c r="B57" s="338" t="s">
        <v>1025</v>
      </c>
      <c r="C57" s="531" t="s">
        <v>280</v>
      </c>
      <c r="D57" s="531" t="s">
        <v>34</v>
      </c>
      <c r="E57" s="534" t="s">
        <v>33</v>
      </c>
    </row>
    <row r="58" spans="1:5" x14ac:dyDescent="0.25">
      <c r="A58" s="337" t="s">
        <v>599</v>
      </c>
      <c r="B58" s="338" t="s">
        <v>1026</v>
      </c>
      <c r="C58" s="531" t="s">
        <v>280</v>
      </c>
      <c r="D58" s="531" t="s">
        <v>34</v>
      </c>
      <c r="E58" s="534" t="s">
        <v>33</v>
      </c>
    </row>
    <row r="59" spans="1:5" x14ac:dyDescent="0.25">
      <c r="A59" s="337" t="s">
        <v>602</v>
      </c>
      <c r="B59" s="338" t="s">
        <v>1027</v>
      </c>
      <c r="C59" s="531" t="s">
        <v>280</v>
      </c>
      <c r="D59" s="531" t="s">
        <v>34</v>
      </c>
      <c r="E59" s="534" t="s">
        <v>33</v>
      </c>
    </row>
    <row r="60" spans="1:5" x14ac:dyDescent="0.25">
      <c r="A60" s="337" t="s">
        <v>605</v>
      </c>
      <c r="B60" s="338" t="s">
        <v>1028</v>
      </c>
      <c r="C60" s="531" t="s">
        <v>280</v>
      </c>
      <c r="D60" s="531" t="s">
        <v>34</v>
      </c>
      <c r="E60" s="534" t="s">
        <v>33</v>
      </c>
    </row>
    <row r="61" spans="1:5" x14ac:dyDescent="0.25">
      <c r="A61" s="337" t="s">
        <v>609</v>
      </c>
      <c r="B61" s="338" t="s">
        <v>1029</v>
      </c>
      <c r="C61" s="531" t="s">
        <v>280</v>
      </c>
      <c r="D61" s="531" t="s">
        <v>34</v>
      </c>
      <c r="E61" s="534" t="s">
        <v>33</v>
      </c>
    </row>
    <row r="62" spans="1:5" x14ac:dyDescent="0.25">
      <c r="A62" s="337" t="s">
        <v>621</v>
      </c>
      <c r="B62" s="338" t="s">
        <v>1030</v>
      </c>
      <c r="C62" s="531" t="s">
        <v>280</v>
      </c>
      <c r="D62" s="531" t="s">
        <v>34</v>
      </c>
      <c r="E62" s="534" t="s">
        <v>33</v>
      </c>
    </row>
    <row r="63" spans="1:5" x14ac:dyDescent="0.25">
      <c r="A63" s="337" t="s">
        <v>628</v>
      </c>
      <c r="B63" s="338" t="s">
        <v>1031</v>
      </c>
      <c r="C63" s="531" t="s">
        <v>280</v>
      </c>
      <c r="D63" s="531" t="s">
        <v>34</v>
      </c>
      <c r="E63" s="534" t="s">
        <v>33</v>
      </c>
    </row>
    <row r="64" spans="1:5" x14ac:dyDescent="0.25">
      <c r="A64" s="337" t="s">
        <v>632</v>
      </c>
      <c r="B64" s="338" t="s">
        <v>1032</v>
      </c>
      <c r="C64" s="531" t="s">
        <v>280</v>
      </c>
      <c r="D64" s="531" t="s">
        <v>34</v>
      </c>
      <c r="E64" s="534" t="s">
        <v>33</v>
      </c>
    </row>
    <row r="65" spans="1:5" x14ac:dyDescent="0.25">
      <c r="A65" s="337" t="s">
        <v>637</v>
      </c>
      <c r="B65" s="338" t="s">
        <v>1033</v>
      </c>
      <c r="C65" s="531" t="s">
        <v>280</v>
      </c>
      <c r="D65" s="531" t="s">
        <v>34</v>
      </c>
      <c r="E65" s="534" t="s">
        <v>33</v>
      </c>
    </row>
    <row r="66" spans="1:5" x14ac:dyDescent="0.25">
      <c r="A66" s="337" t="s">
        <v>640</v>
      </c>
      <c r="B66" s="338" t="s">
        <v>1034</v>
      </c>
      <c r="C66" s="531" t="s">
        <v>280</v>
      </c>
      <c r="D66" s="531" t="s">
        <v>34</v>
      </c>
      <c r="E66" s="534" t="s">
        <v>33</v>
      </c>
    </row>
    <row r="67" spans="1:5" x14ac:dyDescent="0.25">
      <c r="A67" s="337" t="s">
        <v>643</v>
      </c>
      <c r="B67" s="338" t="s">
        <v>1035</v>
      </c>
      <c r="C67" s="531" t="s">
        <v>280</v>
      </c>
      <c r="D67" s="531" t="s">
        <v>34</v>
      </c>
      <c r="E67" s="534" t="s">
        <v>33</v>
      </c>
    </row>
    <row r="68" spans="1:5" x14ac:dyDescent="0.25">
      <c r="A68" s="337" t="s">
        <v>647</v>
      </c>
      <c r="B68" s="338" t="s">
        <v>1036</v>
      </c>
      <c r="C68" s="531" t="s">
        <v>280</v>
      </c>
      <c r="D68" s="531" t="s">
        <v>34</v>
      </c>
      <c r="E68" s="534" t="s">
        <v>33</v>
      </c>
    </row>
    <row r="69" spans="1:5" x14ac:dyDescent="0.25">
      <c r="A69" s="337" t="s">
        <v>650</v>
      </c>
      <c r="B69" s="338" t="s">
        <v>1037</v>
      </c>
      <c r="C69" s="531" t="s">
        <v>280</v>
      </c>
      <c r="D69" s="531" t="s">
        <v>34</v>
      </c>
      <c r="E69" s="534" t="s">
        <v>33</v>
      </c>
    </row>
    <row r="70" spans="1:5" x14ac:dyDescent="0.25">
      <c r="A70" s="337" t="s">
        <v>653</v>
      </c>
      <c r="B70" s="338" t="s">
        <v>1038</v>
      </c>
      <c r="C70" s="531" t="s">
        <v>280</v>
      </c>
      <c r="D70" s="531" t="s">
        <v>34</v>
      </c>
      <c r="E70" s="534" t="s">
        <v>33</v>
      </c>
    </row>
    <row r="71" spans="1:5" x14ac:dyDescent="0.25">
      <c r="A71" s="337" t="s">
        <v>655</v>
      </c>
      <c r="B71" s="338" t="s">
        <v>1039</v>
      </c>
      <c r="C71" s="531" t="s">
        <v>280</v>
      </c>
      <c r="D71" s="531" t="s">
        <v>34</v>
      </c>
      <c r="E71" s="534" t="s">
        <v>33</v>
      </c>
    </row>
    <row r="72" spans="1:5" x14ac:dyDescent="0.25">
      <c r="A72" s="337" t="s">
        <v>658</v>
      </c>
      <c r="B72" s="338" t="s">
        <v>1040</v>
      </c>
      <c r="C72" s="531" t="s">
        <v>280</v>
      </c>
      <c r="D72" s="531" t="s">
        <v>34</v>
      </c>
      <c r="E72" s="534" t="s">
        <v>33</v>
      </c>
    </row>
    <row r="73" spans="1:5" x14ac:dyDescent="0.25">
      <c r="A73" s="337" t="s">
        <v>661</v>
      </c>
      <c r="B73" s="338" t="s">
        <v>1041</v>
      </c>
      <c r="C73" s="531" t="s">
        <v>280</v>
      </c>
      <c r="D73" s="531" t="s">
        <v>34</v>
      </c>
      <c r="E73" s="534" t="s">
        <v>33</v>
      </c>
    </row>
    <row r="74" spans="1:5" x14ac:dyDescent="0.25">
      <c r="A74" s="337" t="s">
        <v>663</v>
      </c>
      <c r="B74" s="338" t="s">
        <v>1042</v>
      </c>
      <c r="C74" s="531" t="s">
        <v>280</v>
      </c>
      <c r="D74" s="531" t="s">
        <v>34</v>
      </c>
      <c r="E74" s="534" t="s">
        <v>33</v>
      </c>
    </row>
    <row r="75" spans="1:5" x14ac:dyDescent="0.25">
      <c r="A75" s="337" t="s">
        <v>668</v>
      </c>
      <c r="B75" s="338" t="s">
        <v>1043</v>
      </c>
      <c r="C75" s="531" t="s">
        <v>280</v>
      </c>
      <c r="D75" s="531" t="s">
        <v>34</v>
      </c>
      <c r="E75" s="534" t="s">
        <v>33</v>
      </c>
    </row>
    <row r="76" spans="1:5" x14ac:dyDescent="0.25">
      <c r="A76" s="337" t="s">
        <v>670</v>
      </c>
      <c r="B76" s="338" t="s">
        <v>1044</v>
      </c>
      <c r="C76" s="531" t="s">
        <v>280</v>
      </c>
      <c r="D76" s="531" t="s">
        <v>34</v>
      </c>
      <c r="E76" s="534" t="s">
        <v>33</v>
      </c>
    </row>
    <row r="77" spans="1:5" x14ac:dyDescent="0.25">
      <c r="A77" s="337" t="s">
        <v>675</v>
      </c>
      <c r="B77" s="338" t="s">
        <v>1045</v>
      </c>
      <c r="C77" s="531" t="s">
        <v>280</v>
      </c>
      <c r="D77" s="531" t="s">
        <v>34</v>
      </c>
      <c r="E77" s="534" t="s">
        <v>33</v>
      </c>
    </row>
    <row r="78" spans="1:5" x14ac:dyDescent="0.25">
      <c r="A78" s="337" t="s">
        <v>680</v>
      </c>
      <c r="B78" s="338" t="s">
        <v>1046</v>
      </c>
      <c r="C78" s="531" t="s">
        <v>280</v>
      </c>
      <c r="D78" s="531" t="s">
        <v>34</v>
      </c>
      <c r="E78" s="534" t="s">
        <v>33</v>
      </c>
    </row>
    <row r="79" spans="1:5" x14ac:dyDescent="0.25">
      <c r="A79" s="337" t="s">
        <v>682</v>
      </c>
      <c r="B79" s="338" t="s">
        <v>1047</v>
      </c>
      <c r="C79" s="531" t="s">
        <v>280</v>
      </c>
      <c r="D79" s="531" t="s">
        <v>34</v>
      </c>
      <c r="E79" s="534" t="s">
        <v>33</v>
      </c>
    </row>
    <row r="80" spans="1:5" x14ac:dyDescent="0.25">
      <c r="A80" s="337" t="s">
        <v>685</v>
      </c>
      <c r="B80" s="338" t="s">
        <v>1048</v>
      </c>
      <c r="C80" s="531" t="s">
        <v>280</v>
      </c>
      <c r="D80" s="531" t="s">
        <v>34</v>
      </c>
      <c r="E80" s="534" t="s">
        <v>33</v>
      </c>
    </row>
    <row r="81" spans="1:5" x14ac:dyDescent="0.25">
      <c r="A81" s="337" t="s">
        <v>687</v>
      </c>
      <c r="B81" s="338" t="s">
        <v>1049</v>
      </c>
      <c r="C81" s="531" t="s">
        <v>280</v>
      </c>
      <c r="D81" s="531" t="s">
        <v>34</v>
      </c>
      <c r="E81" s="534" t="s">
        <v>33</v>
      </c>
    </row>
    <row r="82" spans="1:5" x14ac:dyDescent="0.25">
      <c r="A82" s="337" t="s">
        <v>694</v>
      </c>
      <c r="B82" s="338" t="s">
        <v>1050</v>
      </c>
      <c r="C82" s="531" t="s">
        <v>280</v>
      </c>
      <c r="D82" s="531" t="s">
        <v>34</v>
      </c>
      <c r="E82" s="534" t="s">
        <v>33</v>
      </c>
    </row>
    <row r="83" spans="1:5" x14ac:dyDescent="0.25">
      <c r="A83" s="337" t="s">
        <v>699</v>
      </c>
      <c r="B83" s="338" t="s">
        <v>1051</v>
      </c>
      <c r="C83" s="531" t="s">
        <v>280</v>
      </c>
      <c r="D83" s="531" t="s">
        <v>34</v>
      </c>
      <c r="E83" s="534" t="s">
        <v>33</v>
      </c>
    </row>
    <row r="84" spans="1:5" x14ac:dyDescent="0.25">
      <c r="A84" s="337" t="s">
        <v>702</v>
      </c>
      <c r="B84" s="338" t="s">
        <v>1052</v>
      </c>
      <c r="C84" s="531" t="s">
        <v>280</v>
      </c>
      <c r="D84" s="531" t="s">
        <v>34</v>
      </c>
      <c r="E84" s="534" t="s">
        <v>33</v>
      </c>
    </row>
    <row r="85" spans="1:5" x14ac:dyDescent="0.25">
      <c r="A85" s="337" t="s">
        <v>708</v>
      </c>
      <c r="B85" s="338" t="s">
        <v>1053</v>
      </c>
      <c r="C85" s="531" t="s">
        <v>280</v>
      </c>
      <c r="D85" s="531" t="s">
        <v>34</v>
      </c>
      <c r="E85" s="534" t="s">
        <v>33</v>
      </c>
    </row>
    <row r="86" spans="1:5" x14ac:dyDescent="0.25">
      <c r="A86" s="337" t="s">
        <v>712</v>
      </c>
      <c r="B86" s="338" t="s">
        <v>1054</v>
      </c>
      <c r="C86" s="531" t="s">
        <v>280</v>
      </c>
      <c r="D86" s="531" t="s">
        <v>34</v>
      </c>
      <c r="E86" s="534" t="s">
        <v>33</v>
      </c>
    </row>
    <row r="87" spans="1:5" x14ac:dyDescent="0.25">
      <c r="A87" s="337" t="s">
        <v>715</v>
      </c>
      <c r="B87" s="338" t="s">
        <v>1055</v>
      </c>
      <c r="C87" s="531" t="s">
        <v>280</v>
      </c>
      <c r="D87" s="531" t="s">
        <v>34</v>
      </c>
      <c r="E87" s="534" t="s">
        <v>33</v>
      </c>
    </row>
    <row r="88" spans="1:5" x14ac:dyDescent="0.25">
      <c r="A88" s="337" t="s">
        <v>718</v>
      </c>
      <c r="B88" s="338" t="s">
        <v>1056</v>
      </c>
      <c r="C88" s="531" t="s">
        <v>280</v>
      </c>
      <c r="D88" s="531" t="s">
        <v>34</v>
      </c>
      <c r="E88" s="534" t="s">
        <v>33</v>
      </c>
    </row>
    <row r="89" spans="1:5" x14ac:dyDescent="0.25">
      <c r="A89" s="337" t="s">
        <v>721</v>
      </c>
      <c r="B89" s="338" t="s">
        <v>1057</v>
      </c>
      <c r="C89" s="531" t="s">
        <v>280</v>
      </c>
      <c r="D89" s="531" t="s">
        <v>34</v>
      </c>
      <c r="E89" s="534" t="s">
        <v>33</v>
      </c>
    </row>
    <row r="90" spans="1:5" x14ac:dyDescent="0.25">
      <c r="A90" s="337" t="s">
        <v>727</v>
      </c>
      <c r="B90" s="338" t="s">
        <v>1058</v>
      </c>
      <c r="C90" s="531" t="s">
        <v>280</v>
      </c>
      <c r="D90" s="531" t="s">
        <v>34</v>
      </c>
      <c r="E90" s="534" t="s">
        <v>33</v>
      </c>
    </row>
    <row r="91" spans="1:5" x14ac:dyDescent="0.25">
      <c r="A91" s="337" t="s">
        <v>733</v>
      </c>
      <c r="B91" s="338" t="s">
        <v>1059</v>
      </c>
      <c r="C91" s="531" t="s">
        <v>280</v>
      </c>
      <c r="D91" s="531" t="s">
        <v>34</v>
      </c>
      <c r="E91" s="534" t="s">
        <v>33</v>
      </c>
    </row>
    <row r="92" spans="1:5" x14ac:dyDescent="0.25">
      <c r="A92" s="337" t="s">
        <v>737</v>
      </c>
      <c r="B92" s="338" t="s">
        <v>1060</v>
      </c>
      <c r="C92" s="531" t="s">
        <v>280</v>
      </c>
      <c r="D92" s="531" t="s">
        <v>34</v>
      </c>
      <c r="E92" s="534" t="s">
        <v>33</v>
      </c>
    </row>
    <row r="93" spans="1:5" x14ac:dyDescent="0.25">
      <c r="A93" s="337" t="s">
        <v>743</v>
      </c>
      <c r="B93" s="338" t="s">
        <v>1061</v>
      </c>
      <c r="C93" s="531" t="s">
        <v>280</v>
      </c>
      <c r="D93" s="531" t="s">
        <v>34</v>
      </c>
      <c r="E93" s="534" t="s">
        <v>33</v>
      </c>
    </row>
    <row r="94" spans="1:5" x14ac:dyDescent="0.25">
      <c r="A94" s="337" t="s">
        <v>747</v>
      </c>
      <c r="B94" s="338" t="s">
        <v>1062</v>
      </c>
      <c r="C94" s="531" t="s">
        <v>280</v>
      </c>
      <c r="D94" s="531" t="s">
        <v>34</v>
      </c>
      <c r="E94" s="534" t="s">
        <v>33</v>
      </c>
    </row>
    <row r="95" spans="1:5" x14ac:dyDescent="0.25">
      <c r="A95" s="337" t="s">
        <v>751</v>
      </c>
      <c r="B95" s="338" t="s">
        <v>273</v>
      </c>
      <c r="C95" s="531" t="s">
        <v>280</v>
      </c>
      <c r="D95" s="531" t="s">
        <v>34</v>
      </c>
      <c r="E95" s="534" t="s">
        <v>33</v>
      </c>
    </row>
    <row r="96" spans="1:5" x14ac:dyDescent="0.25">
      <c r="A96" s="337" t="s">
        <v>753</v>
      </c>
      <c r="B96" s="338" t="s">
        <v>1063</v>
      </c>
      <c r="C96" s="531" t="s">
        <v>280</v>
      </c>
      <c r="D96" s="531" t="s">
        <v>34</v>
      </c>
      <c r="E96" s="534" t="s">
        <v>33</v>
      </c>
    </row>
    <row r="97" spans="1:5" x14ac:dyDescent="0.25">
      <c r="A97" s="337" t="s">
        <v>756</v>
      </c>
      <c r="B97" s="338" t="s">
        <v>1064</v>
      </c>
      <c r="C97" s="531" t="s">
        <v>280</v>
      </c>
      <c r="D97" s="531" t="s">
        <v>34</v>
      </c>
      <c r="E97" s="534" t="s">
        <v>33</v>
      </c>
    </row>
    <row r="98" spans="1:5" x14ac:dyDescent="0.25">
      <c r="A98" s="337" t="s">
        <v>758</v>
      </c>
      <c r="B98" s="338" t="s">
        <v>1065</v>
      </c>
      <c r="C98" s="531" t="s">
        <v>280</v>
      </c>
      <c r="D98" s="531" t="s">
        <v>34</v>
      </c>
      <c r="E98" s="534" t="s">
        <v>33</v>
      </c>
    </row>
    <row r="99" spans="1:5" x14ac:dyDescent="0.25">
      <c r="A99" s="337" t="s">
        <v>764</v>
      </c>
      <c r="B99" s="338" t="s">
        <v>1066</v>
      </c>
      <c r="C99" s="531" t="s">
        <v>280</v>
      </c>
      <c r="D99" s="531" t="s">
        <v>34</v>
      </c>
      <c r="E99" s="534" t="s">
        <v>33</v>
      </c>
    </row>
    <row r="100" spans="1:5" x14ac:dyDescent="0.25">
      <c r="A100" s="337" t="s">
        <v>769</v>
      </c>
      <c r="B100" s="338" t="s">
        <v>1067</v>
      </c>
      <c r="C100" s="531" t="s">
        <v>280</v>
      </c>
      <c r="D100" s="531" t="s">
        <v>34</v>
      </c>
      <c r="E100" s="534" t="s">
        <v>33</v>
      </c>
    </row>
    <row r="101" spans="1:5" x14ac:dyDescent="0.25">
      <c r="A101" s="337" t="s">
        <v>774</v>
      </c>
      <c r="B101" s="338" t="s">
        <v>1068</v>
      </c>
      <c r="C101" s="531" t="s">
        <v>280</v>
      </c>
      <c r="D101" s="531" t="s">
        <v>34</v>
      </c>
      <c r="E101" s="534" t="s">
        <v>33</v>
      </c>
    </row>
    <row r="102" spans="1:5" x14ac:dyDescent="0.25">
      <c r="A102" s="337" t="s">
        <v>776</v>
      </c>
      <c r="B102" s="338" t="s">
        <v>1069</v>
      </c>
      <c r="C102" s="531" t="s">
        <v>280</v>
      </c>
      <c r="D102" s="531" t="s">
        <v>34</v>
      </c>
      <c r="E102" s="534" t="s">
        <v>33</v>
      </c>
    </row>
    <row r="103" spans="1:5" x14ac:dyDescent="0.25">
      <c r="A103" s="337" t="s">
        <v>781</v>
      </c>
      <c r="B103" s="338" t="s">
        <v>1070</v>
      </c>
      <c r="C103" s="531" t="s">
        <v>280</v>
      </c>
      <c r="D103" s="531" t="s">
        <v>34</v>
      </c>
      <c r="E103" s="534" t="s">
        <v>33</v>
      </c>
    </row>
    <row r="104" spans="1:5" x14ac:dyDescent="0.25">
      <c r="A104" s="337" t="s">
        <v>784</v>
      </c>
      <c r="B104" s="338" t="s">
        <v>1071</v>
      </c>
      <c r="C104" s="531" t="s">
        <v>280</v>
      </c>
      <c r="D104" s="531" t="s">
        <v>34</v>
      </c>
      <c r="E104" s="534" t="s">
        <v>33</v>
      </c>
    </row>
    <row r="105" spans="1:5" x14ac:dyDescent="0.25">
      <c r="A105" s="337" t="s">
        <v>789</v>
      </c>
      <c r="B105" s="338" t="s">
        <v>1072</v>
      </c>
      <c r="C105" s="531" t="s">
        <v>280</v>
      </c>
      <c r="D105" s="531" t="s">
        <v>34</v>
      </c>
      <c r="E105" s="534" t="s">
        <v>33</v>
      </c>
    </row>
    <row r="106" spans="1:5" x14ac:dyDescent="0.25">
      <c r="A106" s="337" t="s">
        <v>792</v>
      </c>
      <c r="B106" s="338" t="s">
        <v>1073</v>
      </c>
      <c r="C106" s="531" t="s">
        <v>280</v>
      </c>
      <c r="D106" s="531" t="s">
        <v>34</v>
      </c>
      <c r="E106" s="534" t="s">
        <v>33</v>
      </c>
    </row>
    <row r="107" spans="1:5" x14ac:dyDescent="0.25">
      <c r="A107" s="337" t="s">
        <v>799</v>
      </c>
      <c r="B107" s="338" t="s">
        <v>1074</v>
      </c>
      <c r="C107" s="531" t="s">
        <v>280</v>
      </c>
      <c r="D107" s="531" t="s">
        <v>34</v>
      </c>
      <c r="E107" s="534" t="s">
        <v>33</v>
      </c>
    </row>
    <row r="108" spans="1:5" x14ac:dyDescent="0.25">
      <c r="A108" s="337" t="s">
        <v>807</v>
      </c>
      <c r="B108" s="338" t="s">
        <v>1075</v>
      </c>
      <c r="C108" s="531" t="s">
        <v>280</v>
      </c>
      <c r="D108" s="531" t="s">
        <v>34</v>
      </c>
      <c r="E108" s="534" t="s">
        <v>33</v>
      </c>
    </row>
    <row r="109" spans="1:5" x14ac:dyDescent="0.25">
      <c r="A109" s="337" t="s">
        <v>809</v>
      </c>
      <c r="B109" s="338" t="s">
        <v>1076</v>
      </c>
      <c r="C109" s="531" t="s">
        <v>280</v>
      </c>
      <c r="D109" s="531" t="s">
        <v>34</v>
      </c>
      <c r="E109" s="534" t="s">
        <v>33</v>
      </c>
    </row>
    <row r="110" spans="1:5" x14ac:dyDescent="0.25">
      <c r="A110" s="337" t="s">
        <v>810</v>
      </c>
      <c r="B110" s="338" t="s">
        <v>1077</v>
      </c>
      <c r="C110" s="531" t="s">
        <v>280</v>
      </c>
      <c r="D110" s="531" t="s">
        <v>34</v>
      </c>
      <c r="E110" s="534" t="s">
        <v>33</v>
      </c>
    </row>
    <row r="111" spans="1:5" x14ac:dyDescent="0.25">
      <c r="A111" s="337" t="s">
        <v>812</v>
      </c>
      <c r="B111" s="338" t="s">
        <v>1078</v>
      </c>
      <c r="C111" s="531" t="s">
        <v>280</v>
      </c>
      <c r="D111" s="531" t="s">
        <v>34</v>
      </c>
      <c r="E111" s="534" t="s">
        <v>33</v>
      </c>
    </row>
    <row r="112" spans="1:5" x14ac:dyDescent="0.25">
      <c r="A112" s="337" t="s">
        <v>821</v>
      </c>
      <c r="B112" s="338" t="s">
        <v>1079</v>
      </c>
      <c r="C112" s="531" t="s">
        <v>280</v>
      </c>
      <c r="D112" s="531" t="s">
        <v>34</v>
      </c>
      <c r="E112" s="534" t="s">
        <v>33</v>
      </c>
    </row>
    <row r="113" spans="1:5" x14ac:dyDescent="0.25">
      <c r="A113" s="337" t="s">
        <v>824</v>
      </c>
      <c r="B113" s="338" t="s">
        <v>1080</v>
      </c>
      <c r="C113" s="531" t="s">
        <v>280</v>
      </c>
      <c r="D113" s="531" t="s">
        <v>34</v>
      </c>
      <c r="E113" s="534" t="s">
        <v>33</v>
      </c>
    </row>
    <row r="114" spans="1:5" x14ac:dyDescent="0.25">
      <c r="A114" s="337" t="s">
        <v>830</v>
      </c>
      <c r="B114" s="338" t="s">
        <v>1081</v>
      </c>
      <c r="C114" s="531" t="s">
        <v>280</v>
      </c>
      <c r="D114" s="531" t="s">
        <v>34</v>
      </c>
      <c r="E114" s="534" t="s">
        <v>33</v>
      </c>
    </row>
    <row r="115" spans="1:5" x14ac:dyDescent="0.25">
      <c r="A115" s="337" t="s">
        <v>837</v>
      </c>
      <c r="B115" s="338" t="s">
        <v>1082</v>
      </c>
      <c r="C115" s="531" t="s">
        <v>280</v>
      </c>
      <c r="D115" s="531" t="s">
        <v>34</v>
      </c>
      <c r="E115" s="534" t="s">
        <v>33</v>
      </c>
    </row>
    <row r="116" spans="1:5" x14ac:dyDescent="0.25">
      <c r="A116" s="337" t="s">
        <v>842</v>
      </c>
      <c r="B116" s="338" t="s">
        <v>1083</v>
      </c>
      <c r="C116" s="531" t="s">
        <v>280</v>
      </c>
      <c r="D116" s="531" t="s">
        <v>34</v>
      </c>
      <c r="E116" s="534" t="s">
        <v>33</v>
      </c>
    </row>
    <row r="117" spans="1:5" x14ac:dyDescent="0.25">
      <c r="A117" s="337" t="s">
        <v>848</v>
      </c>
      <c r="B117" s="338" t="s">
        <v>1084</v>
      </c>
      <c r="C117" s="531" t="s">
        <v>280</v>
      </c>
      <c r="D117" s="531" t="s">
        <v>34</v>
      </c>
      <c r="E117" s="534" t="s">
        <v>33</v>
      </c>
    </row>
    <row r="118" spans="1:5" x14ac:dyDescent="0.25">
      <c r="A118" s="337" t="s">
        <v>852</v>
      </c>
      <c r="B118" s="338" t="s">
        <v>1085</v>
      </c>
      <c r="C118" s="531" t="s">
        <v>280</v>
      </c>
      <c r="D118" s="531" t="s">
        <v>34</v>
      </c>
      <c r="E118" s="534" t="s">
        <v>33</v>
      </c>
    </row>
    <row r="119" spans="1:5" x14ac:dyDescent="0.25">
      <c r="A119" s="337" t="s">
        <v>857</v>
      </c>
      <c r="B119" s="338" t="s">
        <v>1086</v>
      </c>
      <c r="C119" s="531" t="s">
        <v>280</v>
      </c>
      <c r="D119" s="531" t="s">
        <v>34</v>
      </c>
      <c r="E119" s="534" t="s">
        <v>33</v>
      </c>
    </row>
    <row r="120" spans="1:5" x14ac:dyDescent="0.25">
      <c r="A120" s="337" t="s">
        <v>862</v>
      </c>
      <c r="B120" s="338" t="s">
        <v>1087</v>
      </c>
      <c r="C120" s="531" t="s">
        <v>280</v>
      </c>
      <c r="D120" s="531" t="s">
        <v>34</v>
      </c>
      <c r="E120" s="534" t="s">
        <v>33</v>
      </c>
    </row>
    <row r="121" spans="1:5" x14ac:dyDescent="0.25">
      <c r="A121" s="337" t="s">
        <v>867</v>
      </c>
      <c r="B121" s="338" t="s">
        <v>1088</v>
      </c>
      <c r="C121" s="531" t="s">
        <v>280</v>
      </c>
      <c r="D121" s="531" t="s">
        <v>34</v>
      </c>
      <c r="E121" s="534" t="s">
        <v>33</v>
      </c>
    </row>
    <row r="122" spans="1:5" x14ac:dyDescent="0.25">
      <c r="A122" s="337" t="s">
        <v>871</v>
      </c>
      <c r="B122" s="338" t="s">
        <v>1089</v>
      </c>
      <c r="C122" s="531" t="s">
        <v>280</v>
      </c>
      <c r="D122" s="531" t="s">
        <v>34</v>
      </c>
      <c r="E122" s="534" t="s">
        <v>33</v>
      </c>
    </row>
    <row r="123" spans="1:5" x14ac:dyDescent="0.25">
      <c r="A123" s="337" t="s">
        <v>875</v>
      </c>
      <c r="B123" s="338" t="s">
        <v>1090</v>
      </c>
      <c r="C123" s="531" t="s">
        <v>280</v>
      </c>
      <c r="D123" s="531" t="s">
        <v>34</v>
      </c>
      <c r="E123" s="534" t="s">
        <v>33</v>
      </c>
    </row>
    <row r="124" spans="1:5" x14ac:dyDescent="0.25">
      <c r="A124" s="337" t="s">
        <v>878</v>
      </c>
      <c r="B124" s="338" t="s">
        <v>1091</v>
      </c>
      <c r="C124" s="531" t="s">
        <v>280</v>
      </c>
      <c r="D124" s="531" t="s">
        <v>34</v>
      </c>
      <c r="E124" s="534" t="s">
        <v>33</v>
      </c>
    </row>
    <row r="125" spans="1:5" x14ac:dyDescent="0.25">
      <c r="A125" s="337" t="s">
        <v>881</v>
      </c>
      <c r="B125" s="338" t="s">
        <v>1092</v>
      </c>
      <c r="C125" s="531" t="s">
        <v>280</v>
      </c>
      <c r="D125" s="531" t="s">
        <v>34</v>
      </c>
      <c r="E125" s="534" t="s">
        <v>33</v>
      </c>
    </row>
    <row r="126" spans="1:5" x14ac:dyDescent="0.25">
      <c r="A126" s="337" t="s">
        <v>884</v>
      </c>
      <c r="B126" s="338" t="s">
        <v>1093</v>
      </c>
      <c r="C126" s="531" t="s">
        <v>280</v>
      </c>
      <c r="D126" s="531" t="s">
        <v>34</v>
      </c>
      <c r="E126" s="534" t="s">
        <v>33</v>
      </c>
    </row>
    <row r="127" spans="1:5" x14ac:dyDescent="0.25">
      <c r="A127" s="337" t="s">
        <v>889</v>
      </c>
      <c r="B127" s="338" t="s">
        <v>1094</v>
      </c>
      <c r="C127" s="531" t="s">
        <v>280</v>
      </c>
      <c r="D127" s="531" t="s">
        <v>34</v>
      </c>
      <c r="E127" s="534" t="s">
        <v>33</v>
      </c>
    </row>
    <row r="128" spans="1:5" x14ac:dyDescent="0.25">
      <c r="A128" s="337" t="s">
        <v>891</v>
      </c>
      <c r="B128" s="338" t="s">
        <v>1095</v>
      </c>
      <c r="C128" s="531" t="s">
        <v>280</v>
      </c>
      <c r="D128" s="531" t="s">
        <v>34</v>
      </c>
      <c r="E128" s="534" t="s">
        <v>33</v>
      </c>
    </row>
    <row r="129" spans="1:5" x14ac:dyDescent="0.25">
      <c r="A129" s="337" t="s">
        <v>894</v>
      </c>
      <c r="B129" s="338" t="s">
        <v>1096</v>
      </c>
      <c r="C129" s="531" t="s">
        <v>280</v>
      </c>
      <c r="D129" s="531" t="s">
        <v>34</v>
      </c>
      <c r="E129" s="534" t="s">
        <v>33</v>
      </c>
    </row>
    <row r="130" spans="1:5" x14ac:dyDescent="0.25">
      <c r="A130" s="337" t="s">
        <v>900</v>
      </c>
      <c r="B130" s="338" t="s">
        <v>1097</v>
      </c>
      <c r="C130" s="531" t="s">
        <v>280</v>
      </c>
      <c r="D130" s="531" t="s">
        <v>34</v>
      </c>
      <c r="E130" s="534" t="s">
        <v>33</v>
      </c>
    </row>
    <row r="131" spans="1:5" x14ac:dyDescent="0.25">
      <c r="A131" s="337" t="s">
        <v>904</v>
      </c>
      <c r="B131" s="338" t="s">
        <v>1098</v>
      </c>
      <c r="C131" s="531" t="s">
        <v>280</v>
      </c>
      <c r="D131" s="531" t="s">
        <v>34</v>
      </c>
      <c r="E131" s="534" t="s">
        <v>33</v>
      </c>
    </row>
    <row r="132" spans="1:5" x14ac:dyDescent="0.25">
      <c r="A132" s="337" t="s">
        <v>909</v>
      </c>
      <c r="B132" s="338" t="s">
        <v>1099</v>
      </c>
      <c r="C132" s="531" t="s">
        <v>280</v>
      </c>
      <c r="D132" s="531" t="s">
        <v>34</v>
      </c>
      <c r="E132" s="534" t="s">
        <v>33</v>
      </c>
    </row>
    <row r="133" spans="1:5" x14ac:dyDescent="0.25">
      <c r="A133" s="337" t="s">
        <v>913</v>
      </c>
      <c r="B133" s="338" t="s">
        <v>1100</v>
      </c>
      <c r="C133" s="531" t="s">
        <v>280</v>
      </c>
      <c r="D133" s="531" t="s">
        <v>34</v>
      </c>
      <c r="E133" s="534" t="s">
        <v>33</v>
      </c>
    </row>
    <row r="134" spans="1:5" x14ac:dyDescent="0.25">
      <c r="A134" s="337" t="s">
        <v>917</v>
      </c>
      <c r="B134" s="338" t="s">
        <v>1101</v>
      </c>
      <c r="C134" s="531" t="s">
        <v>280</v>
      </c>
      <c r="D134" s="531" t="s">
        <v>34</v>
      </c>
      <c r="E134" s="534" t="s">
        <v>33</v>
      </c>
    </row>
    <row r="135" spans="1:5" x14ac:dyDescent="0.25">
      <c r="A135" s="337" t="s">
        <v>923</v>
      </c>
      <c r="B135" s="338" t="s">
        <v>1102</v>
      </c>
      <c r="C135" s="531" t="s">
        <v>280</v>
      </c>
      <c r="D135" s="531" t="s">
        <v>34</v>
      </c>
      <c r="E135" s="534" t="s">
        <v>33</v>
      </c>
    </row>
    <row r="136" spans="1:5" x14ac:dyDescent="0.25">
      <c r="A136" s="337" t="s">
        <v>929</v>
      </c>
      <c r="B136" s="338" t="s">
        <v>1103</v>
      </c>
      <c r="C136" s="531" t="s">
        <v>280</v>
      </c>
      <c r="D136" s="531" t="s">
        <v>34</v>
      </c>
      <c r="E136" s="534" t="s">
        <v>33</v>
      </c>
    </row>
    <row r="137" spans="1:5" ht="15.75" thickBot="1" x14ac:dyDescent="0.3">
      <c r="A137" s="339" t="s">
        <v>931</v>
      </c>
      <c r="B137" s="340" t="s">
        <v>1104</v>
      </c>
      <c r="C137" s="532" t="s">
        <v>280</v>
      </c>
      <c r="D137" s="532" t="s">
        <v>34</v>
      </c>
      <c r="E137" s="535" t="s">
        <v>33</v>
      </c>
    </row>
  </sheetData>
  <autoFilter ref="A2:E102"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D3:D137</xm:sqref>
        </x14:dataValidation>
        <x14:dataValidation type="list" allowBlank="1" showInputMessage="1" showErrorMessage="1" xr:uid="{AA1AC074-A7B7-4C8D-9132-118B458773B2}">
          <x14:formula1>
            <xm:f>'List Options'!$G$1:$G$3</xm:f>
          </x14:formula1>
          <xm:sqref>E3:E137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49"/>
  <sheetViews>
    <sheetView workbookViewId="0">
      <pane xSplit="4" ySplit="6" topLeftCell="T87" activePane="bottomRight" state="frozen"/>
      <selection pane="topRight" activeCell="D1" sqref="D1"/>
      <selection pane="bottomLeft" activeCell="A3" sqref="A3"/>
      <selection pane="bottomRight" activeCell="V2" sqref="V2:V3"/>
    </sheetView>
  </sheetViews>
  <sheetFormatPr defaultColWidth="8.5703125" defaultRowHeight="15" x14ac:dyDescent="0.25"/>
  <cols>
    <col min="1" max="1" width="16.85546875" style="182" bestFit="1" customWidth="1"/>
    <col min="2" max="2" width="28.28515625" style="191" bestFit="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7" customWidth="1"/>
    <col min="12" max="12" width="15.140625" style="197" customWidth="1"/>
    <col min="13" max="13" width="12" style="198" bestFit="1" customWidth="1"/>
    <col min="14" max="14" width="10.85546875" style="198" bestFit="1" customWidth="1"/>
    <col min="15" max="15" width="13.5703125" style="197" bestFit="1" customWidth="1"/>
    <col min="16" max="16" width="12.85546875" style="80" bestFit="1" customWidth="1"/>
    <col min="17" max="17" width="10.85546875" style="80" bestFit="1" customWidth="1"/>
    <col min="18" max="19" width="13.5703125" style="201" bestFit="1" customWidth="1"/>
    <col min="20" max="20" width="13.85546875" style="202" bestFit="1" customWidth="1"/>
    <col min="21" max="21" width="6.5703125" style="182" bestFit="1" customWidth="1"/>
    <col min="22" max="22" width="45.7109375" style="182" customWidth="1"/>
    <col min="23" max="16384" width="8.5703125" style="182"/>
  </cols>
  <sheetData>
    <row r="1" spans="1:23" s="177" customFormat="1" ht="19.5" thickBot="1" x14ac:dyDescent="0.3">
      <c r="A1" s="648" t="s">
        <v>1105</v>
      </c>
      <c r="B1" s="649"/>
      <c r="C1" s="649"/>
      <c r="D1" s="649"/>
      <c r="E1" s="649"/>
      <c r="F1" s="649"/>
      <c r="G1" s="649"/>
      <c r="H1" s="649"/>
      <c r="I1" s="649"/>
      <c r="J1" s="649"/>
      <c r="K1" s="649"/>
      <c r="L1" s="649"/>
      <c r="M1" s="649"/>
      <c r="N1" s="649"/>
      <c r="O1" s="649"/>
      <c r="P1" s="649"/>
      <c r="Q1" s="649"/>
      <c r="R1" s="649"/>
      <c r="S1" s="649"/>
      <c r="T1" s="649"/>
      <c r="U1" s="650"/>
      <c r="V1" s="560"/>
    </row>
    <row r="2" spans="1:23" s="188" customFormat="1" ht="18.75" x14ac:dyDescent="0.25">
      <c r="A2" s="696" t="s">
        <v>302</v>
      </c>
      <c r="B2" s="697"/>
      <c r="C2" s="697"/>
      <c r="D2" s="697"/>
      <c r="E2" s="697"/>
      <c r="F2" s="698"/>
      <c r="G2" s="408">
        <f>COUNTIF(G7:G144,"Yes")</f>
        <v>135</v>
      </c>
      <c r="H2" s="408">
        <f>COUNTIF(H7:H144,"Yes")</f>
        <v>135</v>
      </c>
      <c r="I2" s="694">
        <f>'Diags Raw Data'!K176</f>
        <v>166</v>
      </c>
      <c r="J2" s="708">
        <f>'Diags Raw Data'!L176</f>
        <v>1239</v>
      </c>
      <c r="K2" s="710">
        <f>'Diags Raw Data'!N176</f>
        <v>1</v>
      </c>
      <c r="L2" s="712">
        <f>'Diags Raw Data'!P176</f>
        <v>1</v>
      </c>
      <c r="M2" s="714">
        <f>'Diags Raw Data'!R176</f>
        <v>1239</v>
      </c>
      <c r="N2" s="716">
        <f>SUM('Diags Raw Data'!T176+'Diags Raw Data'!U176)</f>
        <v>1239</v>
      </c>
      <c r="O2" s="702">
        <f>IF((M147=0),0,N147/M147)</f>
        <v>1</v>
      </c>
      <c r="P2" s="704">
        <f>'Diags Raw Data'!Z176</f>
        <v>0</v>
      </c>
      <c r="Q2" s="706">
        <f>SUM('Diags Raw Data'!AA176+'Diags Raw Data'!AB176)</f>
        <v>0</v>
      </c>
      <c r="R2" s="726">
        <f>IF((J147=0),0,P147/J147)</f>
        <v>0</v>
      </c>
      <c r="S2" s="726">
        <f>IF((P147=0),0,Q147/P147)</f>
        <v>0</v>
      </c>
      <c r="T2" s="726">
        <f>R147*S147</f>
        <v>0</v>
      </c>
      <c r="U2" s="728"/>
      <c r="V2" s="718" t="s">
        <v>1106</v>
      </c>
      <c r="W2" s="187"/>
    </row>
    <row r="3" spans="1:23" ht="19.5" thickBot="1" x14ac:dyDescent="0.3">
      <c r="A3" s="699"/>
      <c r="B3" s="700"/>
      <c r="C3" s="700"/>
      <c r="D3" s="700"/>
      <c r="E3" s="700"/>
      <c r="F3" s="701"/>
      <c r="G3" s="409">
        <f>COUNTIF(G7:G144,"Yes")/COUNTA(A7:A144)</f>
        <v>1</v>
      </c>
      <c r="H3" s="409">
        <f>(COUNTIF(H7:H144,"Yes")/G147)</f>
        <v>1</v>
      </c>
      <c r="I3" s="695"/>
      <c r="J3" s="709"/>
      <c r="K3" s="711"/>
      <c r="L3" s="713"/>
      <c r="M3" s="715"/>
      <c r="N3" s="717"/>
      <c r="O3" s="703"/>
      <c r="P3" s="705"/>
      <c r="Q3" s="707"/>
      <c r="R3" s="727"/>
      <c r="S3" s="727"/>
      <c r="T3" s="727"/>
      <c r="U3" s="729"/>
      <c r="V3" s="719"/>
      <c r="W3" s="181"/>
    </row>
    <row r="4" spans="1:23" ht="19.5" thickBot="1" x14ac:dyDescent="0.3">
      <c r="A4" s="651" t="s">
        <v>1107</v>
      </c>
      <c r="B4" s="652"/>
      <c r="C4" s="652"/>
      <c r="D4" s="652"/>
      <c r="E4" s="652"/>
      <c r="F4" s="652"/>
      <c r="G4" s="652"/>
      <c r="H4" s="652"/>
      <c r="I4" s="652"/>
      <c r="J4" s="652"/>
      <c r="K4" s="652"/>
      <c r="L4" s="652"/>
      <c r="M4" s="652"/>
      <c r="N4" s="652"/>
      <c r="O4" s="652"/>
      <c r="P4" s="652"/>
      <c r="Q4" s="652"/>
      <c r="R4" s="652"/>
      <c r="S4" s="652"/>
      <c r="T4" s="652"/>
      <c r="U4" s="653"/>
      <c r="V4" s="561"/>
    </row>
    <row r="5" spans="1:23" s="177" customFormat="1" ht="31.5" customHeight="1" thickBot="1" x14ac:dyDescent="0.3">
      <c r="A5" s="734" t="s">
        <v>76</v>
      </c>
      <c r="B5" s="735"/>
      <c r="C5" s="735"/>
      <c r="D5" s="735"/>
      <c r="E5" s="735"/>
      <c r="F5" s="735"/>
      <c r="G5" s="735"/>
      <c r="H5" s="735"/>
      <c r="I5" s="735"/>
      <c r="J5" s="736"/>
      <c r="K5" s="732" t="s">
        <v>113</v>
      </c>
      <c r="L5" s="733"/>
      <c r="M5" s="737" t="s">
        <v>124</v>
      </c>
      <c r="N5" s="738"/>
      <c r="O5" s="739"/>
      <c r="P5" s="740" t="s">
        <v>144</v>
      </c>
      <c r="Q5" s="741"/>
      <c r="R5" s="741"/>
      <c r="S5" s="741"/>
      <c r="T5" s="741"/>
      <c r="U5" s="742"/>
      <c r="V5" s="176"/>
    </row>
    <row r="6" spans="1:23" s="179" customFormat="1" ht="15.75" thickBot="1" x14ac:dyDescent="0.3">
      <c r="A6" s="352" t="s">
        <v>77</v>
      </c>
      <c r="B6" s="391" t="s">
        <v>81</v>
      </c>
      <c r="C6" s="391" t="s">
        <v>96</v>
      </c>
      <c r="D6" s="391" t="s">
        <v>212</v>
      </c>
      <c r="E6" s="391" t="s">
        <v>88</v>
      </c>
      <c r="F6" s="391" t="s">
        <v>1</v>
      </c>
      <c r="G6" s="392" t="s">
        <v>215</v>
      </c>
      <c r="H6" s="392" t="s">
        <v>218</v>
      </c>
      <c r="I6" s="393" t="s">
        <v>105</v>
      </c>
      <c r="J6" s="393" t="s">
        <v>221</v>
      </c>
      <c r="K6" s="365" t="s">
        <v>114</v>
      </c>
      <c r="L6" s="366" t="s">
        <v>121</v>
      </c>
      <c r="M6" s="345" t="s">
        <v>227</v>
      </c>
      <c r="N6" s="346" t="s">
        <v>229</v>
      </c>
      <c r="O6" s="344" t="s">
        <v>187</v>
      </c>
      <c r="P6" s="367" t="s">
        <v>232</v>
      </c>
      <c r="Q6" s="347" t="s">
        <v>229</v>
      </c>
      <c r="R6" s="348" t="s">
        <v>184</v>
      </c>
      <c r="S6" s="348" t="s">
        <v>140</v>
      </c>
      <c r="T6" s="349" t="s">
        <v>187</v>
      </c>
      <c r="U6" s="350" t="s">
        <v>157</v>
      </c>
      <c r="V6" s="178"/>
    </row>
    <row r="7" spans="1:23" x14ac:dyDescent="0.25">
      <c r="A7" s="441" t="s">
        <v>308</v>
      </c>
      <c r="B7" s="442" t="str">
        <f>VLOOKUP(A7,'Feature Raw Data'!$A$3:$B$3986,2,FALSE)</f>
        <v>Feature name - EX-FEAT-001</v>
      </c>
      <c r="C7" s="443" t="str">
        <f>VLOOKUP(A7,'Feature Raw Data'!$A$3:$C$3986,3,FALSE)</f>
        <v>P2</v>
      </c>
      <c r="D7" s="444" t="str" cm="1">
        <f t="array" ref="D7">_xlfn.TEXTJOIN("",TRUE,IF(ISNUMBER(SEARCH($A7,'Diags Raw Data'!$A$6:$A$3786)),CONCATENATE('Diags Raw Data'!$H$6:$H$3786,", "),""))</f>
        <v xml:space="preserve">Manual, </v>
      </c>
      <c r="E7" s="445" t="str">
        <f>VLOOKUP(A7,'Diags Raw Data'!$A$6:$D$3786,4,FALSE)</f>
        <v>Clock Test</v>
      </c>
      <c r="F7" s="445" t="str">
        <f>VLOOKUP(A7,'Feature Raw Data'!$A$3:$E$3986,5,FALSE)</f>
        <v>Legacy</v>
      </c>
      <c r="G7" s="445" t="str">
        <f t="shared" ref="G7:G38" si="0">IF(D7="","No","Yes")</f>
        <v>Yes</v>
      </c>
      <c r="H7" s="445" t="str">
        <f t="shared" ref="H7:H38" si="1">IF(D7="","No","Yes")</f>
        <v>Yes</v>
      </c>
      <c r="I7" s="443">
        <f>SUMIF('Diags Raw Data'!$A$6:$A$3786,"*"&amp;$A7&amp;"*",'Diags Raw Data'!$K$6:$K$3786)</f>
        <v>1</v>
      </c>
      <c r="J7" s="446">
        <f>SUMIF('Diags Raw Data'!$A$6:$A$3786,"*"&amp;$A7&amp;"*",'Diags Raw Data'!$L$6:$L$3786)</f>
        <v>1</v>
      </c>
      <c r="K7" s="490" cm="1">
        <f t="array" ref="K7">IF(D7="",0, SUMPRODUCT(--(ISNUMBER(SEARCH($A7,'Diags Raw Data'!$A$6:$A$3786))),'Diags Raw Data'!$L$6:$L$3786,'Diags Raw Data'!$N$6:$N$3786)/J7)</f>
        <v>1</v>
      </c>
      <c r="L7" s="491" cm="1">
        <f t="array" ref="L7">IF(D7="",0, SUMPRODUCT(--(ISNUMBER(SEARCH($A7,'Diags Raw Data'!$A$6:$A$3786))),'Diags Raw Data'!$L$6:$L$3786,'Diags Raw Data'!$P$6:$P$3786)/J7)</f>
        <v>1</v>
      </c>
      <c r="M7" s="492" cm="1">
        <f t="array" ref="M7">SUMPRODUCT(--(ISNUMBER(SEARCH($A7,'Diags Raw Data'!$A$6:$A$3786))),--('Diags Raw Data'!$Q$6:$Q$3786&lt;&gt;"N/A"),'Diags Raw Data'!$R$6:$R$3786)</f>
        <v>1</v>
      </c>
      <c r="N7" s="493" cm="1">
        <f t="array" ref="N7">SUMPRODUCT(--(ISNUMBER(SEARCH($A7,'Diags Raw Data'!$A$6:$A$3786))),--('Diags Raw Data'!$Q$6:$Q$3786&lt;&gt;"N/A"),'Diags Raw Data'!$T$6:$T$3786)+SUMPRODUCT(--(ISNUMBER(SEARCH($A7,'Diags Raw Data'!$A$6:$A$3786))),--('Diags Raw Data'!$Q$6:$Q$3786&lt;&gt;"N/A"),'Diags Raw Data'!$U$6:$U$3786)</f>
        <v>1</v>
      </c>
      <c r="O7" s="494">
        <f>IF((M7=0),0,N7/M7)</f>
        <v>1</v>
      </c>
      <c r="P7" s="495">
        <f>SUMIF('Diags Raw Data'!$A$6:$A$3786,"*"&amp;$A7&amp;"*",'Diags Raw Data'!$Z$6:$Z$3786)</f>
        <v>0</v>
      </c>
      <c r="Q7" s="496">
        <f>SUM(SUMIF('Diags Raw Data'!$A$6:$A$3786,"*"&amp;$A7&amp;"*",'Diags Raw Data'!$AA$6:$AA$3786),SUMIF('Diags Raw Data'!$A$6:$A$3786,"*"&amp;$A7&amp;"*",'Diags Raw Data'!$AB$6:$AB$3786))</f>
        <v>0</v>
      </c>
      <c r="R7" s="497">
        <f>IF((J7=0),0,P7/J7)</f>
        <v>0</v>
      </c>
      <c r="S7" s="497">
        <f>IF((P7=0),0,Q7/P7)</f>
        <v>0</v>
      </c>
      <c r="T7" s="498">
        <f>R7*S7</f>
        <v>0</v>
      </c>
      <c r="U7" s="447" t="s">
        <v>1108</v>
      </c>
      <c r="V7" s="181"/>
    </row>
    <row r="8" spans="1:23" x14ac:dyDescent="0.25">
      <c r="A8" s="448" t="s">
        <v>316</v>
      </c>
      <c r="B8" s="449" t="str">
        <f>VLOOKUP(A8,'Feature Raw Data'!$A$3:$B$3986,2,FALSE)</f>
        <v>Feature name - EX-FEAT-002</v>
      </c>
      <c r="C8" s="450" t="str">
        <f>VLOOKUP(A8,'Feature Raw Data'!$A$3:$C$3986,3,FALSE)</f>
        <v>P2</v>
      </c>
      <c r="D8" s="451" t="str" cm="1">
        <f t="array" ref="D8">_xlfn.TEXTJOIN("",TRUE,IF(ISNUMBER(SEARCH($A8,'Diags Raw Data'!$A$6:$A$3786)),CONCATENATE('Diags Raw Data'!$H$6:$H$3786,", "),""))</f>
        <v xml:space="preserve">Manual, </v>
      </c>
      <c r="E8" s="342" t="str">
        <f>VLOOKUP(A8,'Diags Raw Data'!$A$6:$D$3786,4,FALSE)</f>
        <v>Clock test</v>
      </c>
      <c r="F8" s="342" t="str">
        <f>VLOOKUP(A8,'Feature Raw Data'!$A$3:$E$3986,5,FALSE)</f>
        <v>Legacy</v>
      </c>
      <c r="G8" s="342" t="str">
        <f t="shared" si="0"/>
        <v>Yes</v>
      </c>
      <c r="H8" s="342" t="str">
        <f t="shared" si="1"/>
        <v>Yes</v>
      </c>
      <c r="I8" s="450">
        <f>SUMIF('Diags Raw Data'!$A$6:$A$3786,"*"&amp;$A8&amp;"*",'Diags Raw Data'!$K$6:$K$3786)</f>
        <v>1</v>
      </c>
      <c r="J8" s="452">
        <f>SUMIF('Diags Raw Data'!$A$6:$A$3786,"*"&amp;$A8&amp;"*",'Diags Raw Data'!$L$6:$L$3786)</f>
        <v>1</v>
      </c>
      <c r="K8" s="499" cm="1">
        <f t="array" ref="K8">IF(D8="",0, SUMPRODUCT(--(ISNUMBER(SEARCH($A8,'Diags Raw Data'!$A$6:$A$3786))),'Diags Raw Data'!$L$6:$L$3786,'Diags Raw Data'!$N$6:$N$3786)/J8)</f>
        <v>1</v>
      </c>
      <c r="L8" s="500" cm="1">
        <f t="array" ref="L8">IF(D8="",0, SUMPRODUCT(--(ISNUMBER(SEARCH($A8,'Diags Raw Data'!$A$6:$A$3786))),'Diags Raw Data'!$L$6:$L$3786,'Diags Raw Data'!$P$6:$P$3786)/J8)</f>
        <v>1</v>
      </c>
      <c r="M8" s="501" cm="1">
        <f t="array" ref="M8">SUMPRODUCT(--(ISNUMBER(SEARCH($A8,'Diags Raw Data'!$A$6:$A$3786))),--('Diags Raw Data'!$Q$6:$Q$3786&lt;&gt;"N/A"),'Diags Raw Data'!$R$6:$R$3786)</f>
        <v>1</v>
      </c>
      <c r="N8" s="502" cm="1">
        <f t="array" ref="N8">SUMPRODUCT(--(ISNUMBER(SEARCH($A8,'Diags Raw Data'!$A$6:$A$3786))),--('Diags Raw Data'!$Q$6:$Q$3786&lt;&gt;"N/A"),'Diags Raw Data'!$T$6:$T$3786)+SUMPRODUCT(--(ISNUMBER(SEARCH($A8,'Diags Raw Data'!$A$6:$A$3786))),--('Diags Raw Data'!$Q$6:$Q$3786&lt;&gt;"N/A"),'Diags Raw Data'!$U$6:$U$3786)</f>
        <v>1</v>
      </c>
      <c r="O8" s="503">
        <f t="shared" ref="O8:O71" si="2">IF((M8=0),0,N8/M8)</f>
        <v>1</v>
      </c>
      <c r="P8" s="504">
        <f>SUMIF('Diags Raw Data'!$A$6:$A$3786,"*"&amp;$A8&amp;"*",'Diags Raw Data'!$Z$6:$Z$3786)</f>
        <v>0</v>
      </c>
      <c r="Q8" s="505">
        <f>SUM(SUMIF('Diags Raw Data'!$A$6:$A$3786,"*"&amp;$A8&amp;"*",'Diags Raw Data'!$AA$6:$AA$3786),SUMIF('Diags Raw Data'!$A$6:$A$3786,"*"&amp;$A8&amp;"*",'Diags Raw Data'!$AB$6:$AB$3786))</f>
        <v>0</v>
      </c>
      <c r="R8" s="506">
        <f t="shared" ref="R8:R70" si="3">IF((J8=0),0,P8/J8)</f>
        <v>0</v>
      </c>
      <c r="S8" s="506">
        <f t="shared" ref="S8:S70" si="4">IF((P8=0),0,Q8/P8)</f>
        <v>0</v>
      </c>
      <c r="T8" s="507">
        <f t="shared" ref="T8:T70" si="5">R8*S8</f>
        <v>0</v>
      </c>
      <c r="U8" s="453" t="s">
        <v>1108</v>
      </c>
      <c r="V8" s="181"/>
    </row>
    <row r="9" spans="1:23" x14ac:dyDescent="0.25">
      <c r="A9" s="448" t="s">
        <v>320</v>
      </c>
      <c r="B9" s="449" t="str">
        <f>VLOOKUP(A9,'Feature Raw Data'!$A$3:$B$3986,2,FALSE)</f>
        <v>Feature name - EX-FEAT-003</v>
      </c>
      <c r="C9" s="450" t="str">
        <f>VLOOKUP(A9,'Feature Raw Data'!$A$3:$C$3986,3,FALSE)</f>
        <v>P2</v>
      </c>
      <c r="D9" s="451" t="str" cm="1">
        <f t="array" ref="D9">_xlfn.TEXTJOIN("",TRUE,IF(ISNUMBER(SEARCH($A9,'Diags Raw Data'!$A$6:$A$3786)),CONCATENATE('Diags Raw Data'!$H$6:$H$3786,", "),""))</f>
        <v xml:space="preserve">acpaz67, </v>
      </c>
      <c r="E9" s="342" t="str">
        <f>VLOOKUP(A9,'Diags Raw Data'!$A$6:$D$3786,4,FALSE)</f>
        <v>Clock Test</v>
      </c>
      <c r="F9" s="342" t="str">
        <f>VLOOKUP(A9,'Feature Raw Data'!$A$3:$E$3986,5,FALSE)</f>
        <v>Legacy</v>
      </c>
      <c r="G9" s="342" t="str">
        <f t="shared" si="0"/>
        <v>Yes</v>
      </c>
      <c r="H9" s="342" t="str">
        <f t="shared" si="1"/>
        <v>Yes</v>
      </c>
      <c r="I9" s="450">
        <f>SUMIF('Diags Raw Data'!$A$6:$A$3786,"*"&amp;$A9&amp;"*",'Diags Raw Data'!$K$6:$K$3786)</f>
        <v>1</v>
      </c>
      <c r="J9" s="452">
        <f>SUMIF('Diags Raw Data'!$A$6:$A$3786,"*"&amp;$A9&amp;"*",'Diags Raw Data'!$L$6:$L$3786)</f>
        <v>1</v>
      </c>
      <c r="K9" s="499" cm="1">
        <f t="array" ref="K9">IF(D9="",0, SUMPRODUCT(--(ISNUMBER(SEARCH($A9,'Diags Raw Data'!$A$6:$A$3786))),'Diags Raw Data'!$L$6:$L$3786,'Diags Raw Data'!$N$6:$N$3786)/J9)</f>
        <v>1</v>
      </c>
      <c r="L9" s="500" cm="1">
        <f t="array" ref="L9">IF(D9="",0, SUMPRODUCT(--(ISNUMBER(SEARCH($A9,'Diags Raw Data'!$A$6:$A$3786))),'Diags Raw Data'!$L$6:$L$3786,'Diags Raw Data'!$P$6:$P$3786)/J9)</f>
        <v>1</v>
      </c>
      <c r="M9" s="501" cm="1">
        <f t="array" ref="M9">SUMPRODUCT(--(ISNUMBER(SEARCH($A9,'Diags Raw Data'!$A$6:$A$3786))),--('Diags Raw Data'!$Q$6:$Q$3786&lt;&gt;"N/A"),'Diags Raw Data'!$R$6:$R$3786)</f>
        <v>1</v>
      </c>
      <c r="N9" s="502" cm="1">
        <f t="array" ref="N9">SUMPRODUCT(--(ISNUMBER(SEARCH($A9,'Diags Raw Data'!$A$6:$A$3786))),--('Diags Raw Data'!$Q$6:$Q$3786&lt;&gt;"N/A"),'Diags Raw Data'!$T$6:$T$3786)+SUMPRODUCT(--(ISNUMBER(SEARCH($A9,'Diags Raw Data'!$A$6:$A$3786))),--('Diags Raw Data'!$Q$6:$Q$3786&lt;&gt;"N/A"),'Diags Raw Data'!$U$6:$U$3786)</f>
        <v>1</v>
      </c>
      <c r="O9" s="503">
        <f t="shared" si="2"/>
        <v>1</v>
      </c>
      <c r="P9" s="504">
        <f>SUMIF('Diags Raw Data'!$A$6:$A$3786,"*"&amp;$A9&amp;"*",'Diags Raw Data'!$Z$6:$Z$3786)</f>
        <v>0</v>
      </c>
      <c r="Q9" s="505">
        <f>SUM(SUMIF('Diags Raw Data'!$A$6:$A$3786,"*"&amp;$A9&amp;"*",'Diags Raw Data'!$AA$6:$AA$3786),SUMIF('Diags Raw Data'!$A$6:$A$3786,"*"&amp;$A9&amp;"*",'Diags Raw Data'!$AB$6:$AB$3786))</f>
        <v>0</v>
      </c>
      <c r="R9" s="506">
        <f t="shared" si="3"/>
        <v>0</v>
      </c>
      <c r="S9" s="506">
        <f t="shared" si="4"/>
        <v>0</v>
      </c>
      <c r="T9" s="507">
        <f t="shared" si="5"/>
        <v>0</v>
      </c>
      <c r="U9" s="453" t="s">
        <v>1109</v>
      </c>
      <c r="V9" s="181"/>
    </row>
    <row r="10" spans="1:23" ht="30" x14ac:dyDescent="0.25">
      <c r="A10" s="448" t="s">
        <v>325</v>
      </c>
      <c r="B10" s="449" t="str">
        <f>VLOOKUP(A10,'Feature Raw Data'!$A$3:$B$3986,2,FALSE)</f>
        <v>Feature name - EX-FEAT-004</v>
      </c>
      <c r="C10" s="450" t="str">
        <f>VLOOKUP(A10,'Feature Raw Data'!$A$3:$C$3986,3,FALSE)</f>
        <v>P2</v>
      </c>
      <c r="D10" s="451" t="str" cm="1">
        <f t="array" ref="D10">_xlfn.TEXTJOIN("",TRUE,IF(ISNUMBER(SEARCH($A10,'Diags Raw Data'!$A$6:$A$3786)),CONCATENATE('Diags Raw Data'!$H$6:$H$3786,", "),""))</f>
        <v xml:space="preserve">acpaz68, </v>
      </c>
      <c r="E10" s="342" t="str">
        <f>VLOOKUP(A10,'Diags Raw Data'!$A$6:$D$3786,4,FALSE)</f>
        <v>VAD clock gating</v>
      </c>
      <c r="F10" s="342" t="str">
        <f>VLOOKUP(A10,'Feature Raw Data'!$A$3:$E$3986,5,FALSE)</f>
        <v>Legacy</v>
      </c>
      <c r="G10" s="342" t="str">
        <f t="shared" si="0"/>
        <v>Yes</v>
      </c>
      <c r="H10" s="342" t="str">
        <f t="shared" si="1"/>
        <v>Yes</v>
      </c>
      <c r="I10" s="450">
        <f>SUMIF('Diags Raw Data'!$A$6:$A$3786,"*"&amp;$A10&amp;"*",'Diags Raw Data'!$K$6:$K$3786)</f>
        <v>1</v>
      </c>
      <c r="J10" s="452">
        <f>SUMIF('Diags Raw Data'!$A$6:$A$3786,"*"&amp;$A10&amp;"*",'Diags Raw Data'!$L$6:$L$3786)</f>
        <v>1</v>
      </c>
      <c r="K10" s="499" cm="1">
        <f t="array" ref="K10">IF(D10="",0, SUMPRODUCT(--(ISNUMBER(SEARCH($A10,'Diags Raw Data'!$A$6:$A$3786))),'Diags Raw Data'!$L$6:$L$3786,'Diags Raw Data'!$N$6:$N$3786)/J10)</f>
        <v>1</v>
      </c>
      <c r="L10" s="500" cm="1">
        <f t="array" ref="L10">IF(D10="",0, SUMPRODUCT(--(ISNUMBER(SEARCH($A10,'Diags Raw Data'!$A$6:$A$3786))),'Diags Raw Data'!$L$6:$L$3786,'Diags Raw Data'!$P$6:$P$3786)/J10)</f>
        <v>1</v>
      </c>
      <c r="M10" s="501" cm="1">
        <f t="array" ref="M10">SUMPRODUCT(--(ISNUMBER(SEARCH($A10,'Diags Raw Data'!$A$6:$A$3786))),--('Diags Raw Data'!$Q$6:$Q$3786&lt;&gt;"N/A"),'Diags Raw Data'!$R$6:$R$3786)</f>
        <v>1</v>
      </c>
      <c r="N10" s="502" cm="1">
        <f t="array" ref="N10">SUMPRODUCT(--(ISNUMBER(SEARCH($A10,'Diags Raw Data'!$A$6:$A$3786))),--('Diags Raw Data'!$Q$6:$Q$3786&lt;&gt;"N/A"),'Diags Raw Data'!$T$6:$T$3786)+SUMPRODUCT(--(ISNUMBER(SEARCH($A10,'Diags Raw Data'!$A$6:$A$3786))),--('Diags Raw Data'!$Q$6:$Q$3786&lt;&gt;"N/A"),'Diags Raw Data'!$U$6:$U$3786)</f>
        <v>1</v>
      </c>
      <c r="O10" s="503">
        <f t="shared" si="2"/>
        <v>1</v>
      </c>
      <c r="P10" s="504">
        <f>SUMIF('Diags Raw Data'!$A$6:$A$3786,"*"&amp;$A10&amp;"*",'Diags Raw Data'!$Z$6:$Z$3786)</f>
        <v>0</v>
      </c>
      <c r="Q10" s="505">
        <f>SUM(SUMIF('Diags Raw Data'!$A$6:$A$3786,"*"&amp;$A10&amp;"*",'Diags Raw Data'!$AA$6:$AA$3786),SUMIF('Diags Raw Data'!$A$6:$A$3786,"*"&amp;$A10&amp;"*",'Diags Raw Data'!$AB$6:$AB$3786))</f>
        <v>0</v>
      </c>
      <c r="R10" s="506">
        <f t="shared" si="3"/>
        <v>0</v>
      </c>
      <c r="S10" s="506">
        <f t="shared" si="4"/>
        <v>0</v>
      </c>
      <c r="T10" s="507">
        <f t="shared" si="5"/>
        <v>0</v>
      </c>
      <c r="U10" s="453" t="s">
        <v>1110</v>
      </c>
      <c r="V10" s="181"/>
    </row>
    <row r="11" spans="1:23" x14ac:dyDescent="0.25">
      <c r="A11" s="448" t="s">
        <v>331</v>
      </c>
      <c r="B11" s="449" t="str">
        <f>VLOOKUP(A11,'Feature Raw Data'!$A$3:$B$3986,2,FALSE)</f>
        <v>Feature name - EX-FEAT-005</v>
      </c>
      <c r="C11" s="450" t="str">
        <f>VLOOKUP(A11,'Feature Raw Data'!$A$3:$C$3986,3,FALSE)</f>
        <v>P2</v>
      </c>
      <c r="D11" s="451" t="str" cm="1">
        <f t="array" ref="D11">_xlfn.TEXTJOIN("",TRUE,IF(ISNUMBER(SEARCH($A11,'Diags Raw Data'!$A$6:$A$3786)),CONCATENATE('Diags Raw Data'!$H$6:$H$3786,", "),""))</f>
        <v xml:space="preserve">acpaz63.1, </v>
      </c>
      <c r="E11" s="342" t="str">
        <f>VLOOKUP(A11,'Diags Raw Data'!$A$6:$D$3786,4,FALSE)</f>
        <v>PGFSM</v>
      </c>
      <c r="F11" s="342" t="str">
        <f>VLOOKUP(A11,'Feature Raw Data'!$A$3:$E$3986,5,FALSE)</f>
        <v>Legacy</v>
      </c>
      <c r="G11" s="342" t="str">
        <f t="shared" si="0"/>
        <v>Yes</v>
      </c>
      <c r="H11" s="342" t="str">
        <f t="shared" si="1"/>
        <v>Yes</v>
      </c>
      <c r="I11" s="450">
        <f>SUMIF('Diags Raw Data'!$A$6:$A$3786,"*"&amp;$A11&amp;"*",'Diags Raw Data'!$K$6:$K$3786)</f>
        <v>1</v>
      </c>
      <c r="J11" s="452">
        <f>SUMIF('Diags Raw Data'!$A$6:$A$3786,"*"&amp;$A11&amp;"*",'Diags Raw Data'!$L$6:$L$3786)</f>
        <v>1</v>
      </c>
      <c r="K11" s="499" cm="1">
        <f t="array" ref="K11">IF(D11="",0, SUMPRODUCT(--(ISNUMBER(SEARCH($A11,'Diags Raw Data'!$A$6:$A$3786))),'Diags Raw Data'!$L$6:$L$3786,'Diags Raw Data'!$N$6:$N$3786)/J11)</f>
        <v>1</v>
      </c>
      <c r="L11" s="500" cm="1">
        <f t="array" ref="L11">IF(D11="",0, SUMPRODUCT(--(ISNUMBER(SEARCH($A11,'Diags Raw Data'!$A$6:$A$3786))),'Diags Raw Data'!$L$6:$L$3786,'Diags Raw Data'!$P$6:$P$3786)/J11)</f>
        <v>1</v>
      </c>
      <c r="M11" s="501" cm="1">
        <f t="array" ref="M11">SUMPRODUCT(--(ISNUMBER(SEARCH($A11,'Diags Raw Data'!$A$6:$A$3786))),--('Diags Raw Data'!$Q$6:$Q$3786&lt;&gt;"N/A"),'Diags Raw Data'!$R$6:$R$3786)</f>
        <v>1</v>
      </c>
      <c r="N11" s="502" cm="1">
        <f t="array" ref="N11">SUMPRODUCT(--(ISNUMBER(SEARCH($A11,'Diags Raw Data'!$A$6:$A$3786))),--('Diags Raw Data'!$Q$6:$Q$3786&lt;&gt;"N/A"),'Diags Raw Data'!$T$6:$T$3786)+SUMPRODUCT(--(ISNUMBER(SEARCH($A11,'Diags Raw Data'!$A$6:$A$3786))),--('Diags Raw Data'!$Q$6:$Q$3786&lt;&gt;"N/A"),'Diags Raw Data'!$U$6:$U$3786)</f>
        <v>1</v>
      </c>
      <c r="O11" s="503">
        <f t="shared" si="2"/>
        <v>1</v>
      </c>
      <c r="P11" s="504">
        <f>SUMIF('Diags Raw Data'!$A$6:$A$3786,"*"&amp;$A11&amp;"*",'Diags Raw Data'!$Z$6:$Z$3786)</f>
        <v>0</v>
      </c>
      <c r="Q11" s="505">
        <f>SUM(SUMIF('Diags Raw Data'!$A$6:$A$3786,"*"&amp;$A11&amp;"*",'Diags Raw Data'!$AA$6:$AA$3786),SUMIF('Diags Raw Data'!$A$6:$A$3786,"*"&amp;$A11&amp;"*",'Diags Raw Data'!$AB$6:$AB$3786))</f>
        <v>0</v>
      </c>
      <c r="R11" s="506">
        <f t="shared" si="3"/>
        <v>0</v>
      </c>
      <c r="S11" s="506">
        <f t="shared" si="4"/>
        <v>0</v>
      </c>
      <c r="T11" s="507">
        <f t="shared" si="5"/>
        <v>0</v>
      </c>
      <c r="U11" s="453" t="s">
        <v>1111</v>
      </c>
      <c r="V11" s="181"/>
    </row>
    <row r="12" spans="1:23" x14ac:dyDescent="0.25">
      <c r="A12" s="448" t="s">
        <v>336</v>
      </c>
      <c r="B12" s="449" t="str">
        <f>VLOOKUP(A12,'Feature Raw Data'!$A$3:$B$3986,2,FALSE)</f>
        <v>Feature name - EX-FEAT-006</v>
      </c>
      <c r="C12" s="450" t="str">
        <f>VLOOKUP(A12,'Feature Raw Data'!$A$3:$C$3986,3,FALSE)</f>
        <v>P2</v>
      </c>
      <c r="D12" s="451" t="str" cm="1">
        <f t="array" ref="D12">_xlfn.TEXTJOIN("",TRUE,IF(ISNUMBER(SEARCH($A12,'Diags Raw Data'!$A$6:$A$3786)),CONCATENATE('Diags Raw Data'!$H$6:$H$3786,", "),""))</f>
        <v xml:space="preserve">acpaz69.1, </v>
      </c>
      <c r="E12" s="342" t="str">
        <f>VLOOKUP(A12,'Diags Raw Data'!$A$6:$D$3786,4,FALSE)</f>
        <v>PGFSM</v>
      </c>
      <c r="F12" s="342" t="str">
        <f>VLOOKUP(A12,'Feature Raw Data'!$A$3:$E$3986,5,FALSE)</f>
        <v>Legacy</v>
      </c>
      <c r="G12" s="342" t="str">
        <f t="shared" si="0"/>
        <v>Yes</v>
      </c>
      <c r="H12" s="342" t="str">
        <f t="shared" si="1"/>
        <v>Yes</v>
      </c>
      <c r="I12" s="450">
        <f>SUMIF('Diags Raw Data'!$A$6:$A$3786,"*"&amp;$A12&amp;"*",'Diags Raw Data'!$K$6:$K$3786)</f>
        <v>1</v>
      </c>
      <c r="J12" s="452">
        <f>SUMIF('Diags Raw Data'!$A$6:$A$3786,"*"&amp;$A12&amp;"*",'Diags Raw Data'!$L$6:$L$3786)</f>
        <v>1</v>
      </c>
      <c r="K12" s="499" cm="1">
        <f t="array" ref="K12">IF(D12="",0, SUMPRODUCT(--(ISNUMBER(SEARCH($A12,'Diags Raw Data'!$A$6:$A$3786))),'Diags Raw Data'!$L$6:$L$3786,'Diags Raw Data'!$N$6:$N$3786)/J12)</f>
        <v>1</v>
      </c>
      <c r="L12" s="500" cm="1">
        <f t="array" ref="L12">IF(D12="",0, SUMPRODUCT(--(ISNUMBER(SEARCH($A12,'Diags Raw Data'!$A$6:$A$3786))),'Diags Raw Data'!$L$6:$L$3786,'Diags Raw Data'!$P$6:$P$3786)/J12)</f>
        <v>1</v>
      </c>
      <c r="M12" s="501" cm="1">
        <f t="array" ref="M12">SUMPRODUCT(--(ISNUMBER(SEARCH($A12,'Diags Raw Data'!$A$6:$A$3786))),--('Diags Raw Data'!$Q$6:$Q$3786&lt;&gt;"N/A"),'Diags Raw Data'!$R$6:$R$3786)</f>
        <v>1</v>
      </c>
      <c r="N12" s="502" cm="1">
        <f t="array" ref="N12">SUMPRODUCT(--(ISNUMBER(SEARCH($A12,'Diags Raw Data'!$A$6:$A$3786))),--('Diags Raw Data'!$Q$6:$Q$3786&lt;&gt;"N/A"),'Diags Raw Data'!$T$6:$T$3786)+SUMPRODUCT(--(ISNUMBER(SEARCH($A12,'Diags Raw Data'!$A$6:$A$3786))),--('Diags Raw Data'!$Q$6:$Q$3786&lt;&gt;"N/A"),'Diags Raw Data'!$U$6:$U$3786)</f>
        <v>1</v>
      </c>
      <c r="O12" s="503">
        <f t="shared" si="2"/>
        <v>1</v>
      </c>
      <c r="P12" s="504">
        <f>SUMIF('Diags Raw Data'!$A$6:$A$3786,"*"&amp;$A12&amp;"*",'Diags Raw Data'!$Z$6:$Z$3786)</f>
        <v>0</v>
      </c>
      <c r="Q12" s="505">
        <f>SUM(SUMIF('Diags Raw Data'!$A$6:$A$3786,"*"&amp;$A12&amp;"*",'Diags Raw Data'!$AA$6:$AA$3786),SUMIF('Diags Raw Data'!$A$6:$A$3786,"*"&amp;$A12&amp;"*",'Diags Raw Data'!$AB$6:$AB$3786))</f>
        <v>0</v>
      </c>
      <c r="R12" s="506">
        <f t="shared" si="3"/>
        <v>0</v>
      </c>
      <c r="S12" s="506">
        <f t="shared" si="4"/>
        <v>0</v>
      </c>
      <c r="T12" s="507">
        <f t="shared" si="5"/>
        <v>0</v>
      </c>
      <c r="U12" s="453" t="s">
        <v>1108</v>
      </c>
      <c r="V12" s="181"/>
    </row>
    <row r="13" spans="1:23" x14ac:dyDescent="0.25">
      <c r="A13" s="448" t="s">
        <v>342</v>
      </c>
      <c r="B13" s="449" t="str">
        <f>VLOOKUP(A13,'Feature Raw Data'!$A$3:$B$3986,2,FALSE)</f>
        <v>Feature name - EX-FEAT-007</v>
      </c>
      <c r="C13" s="450" t="str">
        <f>VLOOKUP(A13,'Feature Raw Data'!$A$3:$C$3986,3,FALSE)</f>
        <v>P2</v>
      </c>
      <c r="D13" s="451" t="str" cm="1">
        <f t="array" ref="D13">_xlfn.TEXTJOIN("",TRUE,IF(ISNUMBER(SEARCH($A13,'Diags Raw Data'!$A$6:$A$3786)),CONCATENATE('Diags Raw Data'!$H$6:$H$3786,", "),""))</f>
        <v xml:space="preserve">acpaz292.1-2, </v>
      </c>
      <c r="E13" s="342" t="str">
        <f>VLOOKUP(A13,'Diags Raw Data'!$A$6:$D$3786,4,FALSE)</f>
        <v>PGFSM</v>
      </c>
      <c r="F13" s="342" t="str">
        <f>VLOOKUP(A13,'Feature Raw Data'!$A$3:$E$3986,5,FALSE)</f>
        <v>Legacy</v>
      </c>
      <c r="G13" s="342" t="str">
        <f t="shared" si="0"/>
        <v>Yes</v>
      </c>
      <c r="H13" s="342" t="str">
        <f t="shared" si="1"/>
        <v>Yes</v>
      </c>
      <c r="I13" s="450">
        <f>SUMIF('Diags Raw Data'!$A$6:$A$3786,"*"&amp;$A13&amp;"*",'Diags Raw Data'!$K$6:$K$3786)</f>
        <v>2</v>
      </c>
      <c r="J13" s="452">
        <f>SUMIF('Diags Raw Data'!$A$6:$A$3786,"*"&amp;$A13&amp;"*",'Diags Raw Data'!$L$6:$L$3786)</f>
        <v>2</v>
      </c>
      <c r="K13" s="499" cm="1">
        <f t="array" ref="K13">IF(D13="",0, SUMPRODUCT(--(ISNUMBER(SEARCH($A13,'Diags Raw Data'!$A$6:$A$3786))),'Diags Raw Data'!$L$6:$L$3786,'Diags Raw Data'!$N$6:$N$3786)/J13)</f>
        <v>1</v>
      </c>
      <c r="L13" s="500" cm="1">
        <f t="array" ref="L13">IF(D13="",0, SUMPRODUCT(--(ISNUMBER(SEARCH($A13,'Diags Raw Data'!$A$6:$A$3786))),'Diags Raw Data'!$L$6:$L$3786,'Diags Raw Data'!$P$6:$P$3786)/J13)</f>
        <v>1</v>
      </c>
      <c r="M13" s="501" cm="1">
        <f t="array" ref="M13">SUMPRODUCT(--(ISNUMBER(SEARCH($A13,'Diags Raw Data'!$A$6:$A$3786))),--('Diags Raw Data'!$Q$6:$Q$3786&lt;&gt;"N/A"),'Diags Raw Data'!$R$6:$R$3786)</f>
        <v>2</v>
      </c>
      <c r="N13" s="502" cm="1">
        <f t="array" ref="N13">SUMPRODUCT(--(ISNUMBER(SEARCH($A13,'Diags Raw Data'!$A$6:$A$3786))),--('Diags Raw Data'!$Q$6:$Q$3786&lt;&gt;"N/A"),'Diags Raw Data'!$T$6:$T$3786)+SUMPRODUCT(--(ISNUMBER(SEARCH($A13,'Diags Raw Data'!$A$6:$A$3786))),--('Diags Raw Data'!$Q$6:$Q$3786&lt;&gt;"N/A"),'Diags Raw Data'!$U$6:$U$3786)</f>
        <v>2</v>
      </c>
      <c r="O13" s="503">
        <f>IF((M13=0),0,N13/M13)</f>
        <v>1</v>
      </c>
      <c r="P13" s="504">
        <f>SUMIF('Diags Raw Data'!$A$6:$A$3786,"*"&amp;$A13&amp;"*",'Diags Raw Data'!$Z$6:$Z$3786)</f>
        <v>0</v>
      </c>
      <c r="Q13" s="505">
        <f>SUM(SUMIF('Diags Raw Data'!$A$6:$A$3786,"*"&amp;$A13&amp;"*",'Diags Raw Data'!$AA$6:$AA$3786),SUMIF('Diags Raw Data'!$A$6:$A$3786,"*"&amp;$A13&amp;"*",'Diags Raw Data'!$AB$6:$AB$3786))</f>
        <v>0</v>
      </c>
      <c r="R13" s="506">
        <f t="shared" si="3"/>
        <v>0</v>
      </c>
      <c r="S13" s="506">
        <f t="shared" si="4"/>
        <v>0</v>
      </c>
      <c r="T13" s="507">
        <f t="shared" si="5"/>
        <v>0</v>
      </c>
      <c r="U13" s="453" t="s">
        <v>47</v>
      </c>
      <c r="V13" s="181"/>
    </row>
    <row r="14" spans="1:23" ht="45" x14ac:dyDescent="0.25">
      <c r="A14" s="448" t="s">
        <v>347</v>
      </c>
      <c r="B14" s="449" t="str">
        <f>VLOOKUP(A14,'Feature Raw Data'!$A$3:$B$3986,2,FALSE)</f>
        <v>Feature name - EX-FEAT-008</v>
      </c>
      <c r="C14" s="450" t="str">
        <f>VLOOKUP(A14,'Feature Raw Data'!$A$3:$C$3986,3,FALSE)</f>
        <v>P2</v>
      </c>
      <c r="D14" s="451" t="str" cm="1">
        <f t="array" ref="D14">_xlfn.TEXTJOIN("",TRUE,IF(ISNUMBER(SEARCH($A14,'Diags Raw Data'!$A$6:$A$3786)),CONCATENATE('Diags Raw Data'!$H$6:$H$3786,", "),""))</f>
        <v xml:space="preserve">N/A, acpaz31.1, acpaz31.2, acpaz32.1, acpaz34, acpaz31.3, acpaz31.4, acpaz32.2, </v>
      </c>
      <c r="E14" s="342" t="str">
        <f>VLOOKUP(A14,'Diags Raw Data'!$A$6:$D$3786,4,FALSE)</f>
        <v>Reset Test</v>
      </c>
      <c r="F14" s="342" t="str">
        <f>VLOOKUP(A14,'Feature Raw Data'!$A$3:$E$3986,5,FALSE)</f>
        <v>Legacy</v>
      </c>
      <c r="G14" s="342" t="str">
        <f t="shared" si="0"/>
        <v>Yes</v>
      </c>
      <c r="H14" s="342" t="str">
        <f t="shared" si="1"/>
        <v>Yes</v>
      </c>
      <c r="I14" s="450">
        <f>SUMIF('Diags Raw Data'!$A$6:$A$3786,"*"&amp;$A14&amp;"*",'Diags Raw Data'!$K$6:$K$3786)</f>
        <v>8</v>
      </c>
      <c r="J14" s="452">
        <f>SUMIF('Diags Raw Data'!$A$6:$A$3786,"*"&amp;$A14&amp;"*",'Diags Raw Data'!$L$6:$L$3786)</f>
        <v>10</v>
      </c>
      <c r="K14" s="499" cm="1">
        <f t="array" ref="K14">IF(D14="",0, SUMPRODUCT(--(ISNUMBER(SEARCH($A14,'Diags Raw Data'!$A$6:$A$3786))),'Diags Raw Data'!$L$6:$L$3786,'Diags Raw Data'!$N$6:$N$3786)/J14)</f>
        <v>1</v>
      </c>
      <c r="L14" s="500" cm="1">
        <f t="array" ref="L14">IF(D14="",0, SUMPRODUCT(--(ISNUMBER(SEARCH($A14,'Diags Raw Data'!$A$6:$A$3786))),'Diags Raw Data'!$L$6:$L$3786,'Diags Raw Data'!$P$6:$P$3786)/J14)</f>
        <v>1</v>
      </c>
      <c r="M14" s="501" cm="1">
        <f t="array" ref="M14">SUMPRODUCT(--(ISNUMBER(SEARCH($A14,'Diags Raw Data'!$A$6:$A$3786))),--('Diags Raw Data'!$Q$6:$Q$3786&lt;&gt;"N/A"),'Diags Raw Data'!$R$6:$R$3786)</f>
        <v>10</v>
      </c>
      <c r="N14" s="502" cm="1">
        <f t="array" ref="N14">SUMPRODUCT(--(ISNUMBER(SEARCH($A14,'Diags Raw Data'!$A$6:$A$3786))),--('Diags Raw Data'!$Q$6:$Q$3786&lt;&gt;"N/A"),'Diags Raw Data'!$T$6:$T$3786)+SUMPRODUCT(--(ISNUMBER(SEARCH($A14,'Diags Raw Data'!$A$6:$A$3786))),--('Diags Raw Data'!$Q$6:$Q$3786&lt;&gt;"N/A"),'Diags Raw Data'!$U$6:$U$3786)</f>
        <v>10</v>
      </c>
      <c r="O14" s="503">
        <f t="shared" si="2"/>
        <v>1</v>
      </c>
      <c r="P14" s="504">
        <f>SUMIF('Diags Raw Data'!$A$6:$A$3786,"*"&amp;$A14&amp;"*",'Diags Raw Data'!$Z$6:$Z$3786)</f>
        <v>0</v>
      </c>
      <c r="Q14" s="505">
        <f>SUM(SUMIF('Diags Raw Data'!$A$6:$A$3786,"*"&amp;$A14&amp;"*",'Diags Raw Data'!$AA$6:$AA$3786),SUMIF('Diags Raw Data'!$A$6:$A$3786,"*"&amp;$A14&amp;"*",'Diags Raw Data'!$AB$6:$AB$3786))</f>
        <v>0</v>
      </c>
      <c r="R14" s="506">
        <f t="shared" si="3"/>
        <v>0</v>
      </c>
      <c r="S14" s="506">
        <f t="shared" si="4"/>
        <v>0</v>
      </c>
      <c r="T14" s="507">
        <f t="shared" si="5"/>
        <v>0</v>
      </c>
      <c r="U14" s="453" t="s">
        <v>1109</v>
      </c>
      <c r="V14" s="181"/>
    </row>
    <row r="15" spans="1:23" x14ac:dyDescent="0.25">
      <c r="A15" s="448" t="s">
        <v>370</v>
      </c>
      <c r="B15" s="449" t="str">
        <f>VLOOKUP(A15,'Feature Raw Data'!$A$3:$B$3986,2,FALSE)</f>
        <v>Feature name - EX-FEAT-009</v>
      </c>
      <c r="C15" s="450" t="str">
        <f>VLOOKUP(A15,'Feature Raw Data'!$A$3:$C$3986,3,FALSE)</f>
        <v>P2</v>
      </c>
      <c r="D15" s="451" t="str" cm="1">
        <f t="array" ref="D15">_xlfn.TEXTJOIN("",TRUE,IF(ISNUMBER(SEARCH($A15,'Diags Raw Data'!$A$6:$A$3786)),CONCATENATE('Diags Raw Data'!$H$6:$H$3786,", "),""))</f>
        <v xml:space="preserve">acpaz4.1-3, </v>
      </c>
      <c r="E15" s="342" t="str">
        <f>VLOOKUP(A15,'Diags Raw Data'!$A$6:$D$3786,4,FALSE)</f>
        <v>DMA</v>
      </c>
      <c r="F15" s="342" t="str">
        <f>VLOOKUP(A15,'Feature Raw Data'!$A$3:$E$3986,5,FALSE)</f>
        <v>Legacy</v>
      </c>
      <c r="G15" s="342" t="str">
        <f t="shared" si="0"/>
        <v>Yes</v>
      </c>
      <c r="H15" s="342" t="str">
        <f t="shared" si="1"/>
        <v>Yes</v>
      </c>
      <c r="I15" s="450">
        <f>SUMIF('Diags Raw Data'!$A$6:$A$3786,"*"&amp;$A15&amp;"*",'Diags Raw Data'!$K$6:$K$3786)</f>
        <v>1</v>
      </c>
      <c r="J15" s="452">
        <f>SUMIF('Diags Raw Data'!$A$6:$A$3786,"*"&amp;$A15&amp;"*",'Diags Raw Data'!$L$6:$L$3786)</f>
        <v>3</v>
      </c>
      <c r="K15" s="499" cm="1">
        <f t="array" ref="K15">IF(D15="",0, SUMPRODUCT(--(ISNUMBER(SEARCH($A15,'Diags Raw Data'!$A$6:$A$3786))),'Diags Raw Data'!$L$6:$L$3786,'Diags Raw Data'!$N$6:$N$3786)/J15)</f>
        <v>1</v>
      </c>
      <c r="L15" s="500" cm="1">
        <f t="array" ref="L15">IF(D15="",0, SUMPRODUCT(--(ISNUMBER(SEARCH($A15,'Diags Raw Data'!$A$6:$A$3786))),'Diags Raw Data'!$L$6:$L$3786,'Diags Raw Data'!$P$6:$P$3786)/J15)</f>
        <v>1</v>
      </c>
      <c r="M15" s="501" cm="1">
        <f t="array" ref="M15">SUMPRODUCT(--(ISNUMBER(SEARCH($A15,'Diags Raw Data'!$A$6:$A$3786))),--('Diags Raw Data'!$Q$6:$Q$3786&lt;&gt;"N/A"),'Diags Raw Data'!$R$6:$R$3786)</f>
        <v>3</v>
      </c>
      <c r="N15" s="502" cm="1">
        <f t="array" ref="N15">SUMPRODUCT(--(ISNUMBER(SEARCH($A15,'Diags Raw Data'!$A$6:$A$3786))),--('Diags Raw Data'!$Q$6:$Q$3786&lt;&gt;"N/A"),'Diags Raw Data'!$T$6:$T$3786)+SUMPRODUCT(--(ISNUMBER(SEARCH($A15,'Diags Raw Data'!$A$6:$A$3786))),--('Diags Raw Data'!$Q$6:$Q$3786&lt;&gt;"N/A"),'Diags Raw Data'!$U$6:$U$3786)</f>
        <v>3</v>
      </c>
      <c r="O15" s="503">
        <f t="shared" si="2"/>
        <v>1</v>
      </c>
      <c r="P15" s="504">
        <f>SUMIF('Diags Raw Data'!$A$6:$A$3786,"*"&amp;$A15&amp;"*",'Diags Raw Data'!$Z$6:$Z$3786)</f>
        <v>0</v>
      </c>
      <c r="Q15" s="505">
        <f>SUM(SUMIF('Diags Raw Data'!$A$6:$A$3786,"*"&amp;$A15&amp;"*",'Diags Raw Data'!$AA$6:$AA$3786),SUMIF('Diags Raw Data'!$A$6:$A$3786,"*"&amp;$A15&amp;"*",'Diags Raw Data'!$AB$6:$AB$3786))</f>
        <v>0</v>
      </c>
      <c r="R15" s="506">
        <f t="shared" si="3"/>
        <v>0</v>
      </c>
      <c r="S15" s="506">
        <f t="shared" si="4"/>
        <v>0</v>
      </c>
      <c r="T15" s="507">
        <f t="shared" si="5"/>
        <v>0</v>
      </c>
      <c r="U15" s="453" t="s">
        <v>1109</v>
      </c>
      <c r="V15" s="181"/>
    </row>
    <row r="16" spans="1:23" x14ac:dyDescent="0.25">
      <c r="A16" s="448" t="s">
        <v>376</v>
      </c>
      <c r="B16" s="449" t="str">
        <f>VLOOKUP(A16,'Feature Raw Data'!$A$3:$B$3986,2,FALSE)</f>
        <v>Feature name - EX-FEAT-010</v>
      </c>
      <c r="C16" s="450" t="str">
        <f>VLOOKUP(A16,'Feature Raw Data'!$A$3:$C$3986,3,FALSE)</f>
        <v>P2</v>
      </c>
      <c r="D16" s="451" t="str" cm="1">
        <f t="array" ref="D16">_xlfn.TEXTJOIN("",TRUE,IF(ISNUMBER(SEARCH($A16,'Diags Raw Data'!$A$6:$A$3786)),CONCATENATE('Diags Raw Data'!$H$6:$H$3786,", "),""))</f>
        <v xml:space="preserve">acpaz2, acpaz3.1-4, </v>
      </c>
      <c r="E16" s="342" t="str">
        <f>VLOOKUP(A16,'Diags Raw Data'!$A$6:$D$3786,4,FALSE)</f>
        <v>DMA</v>
      </c>
      <c r="F16" s="342" t="str">
        <f>VLOOKUP(A16,'Feature Raw Data'!$A$3:$E$3986,5,FALSE)</f>
        <v>Legacy</v>
      </c>
      <c r="G16" s="342" t="str">
        <f t="shared" si="0"/>
        <v>Yes</v>
      </c>
      <c r="H16" s="342" t="str">
        <f t="shared" si="1"/>
        <v>Yes</v>
      </c>
      <c r="I16" s="450">
        <f>SUMIF('Diags Raw Data'!$A$6:$A$3786,"*"&amp;$A16&amp;"*",'Diags Raw Data'!$K$6:$K$3786)</f>
        <v>2</v>
      </c>
      <c r="J16" s="452">
        <f>SUMIF('Diags Raw Data'!$A$6:$A$3786,"*"&amp;$A16&amp;"*",'Diags Raw Data'!$L$6:$L$3786)</f>
        <v>5</v>
      </c>
      <c r="K16" s="499" cm="1">
        <f t="array" ref="K16">IF(D16="",0, SUMPRODUCT(--(ISNUMBER(SEARCH($A16,'Diags Raw Data'!$A$6:$A$3786))),'Diags Raw Data'!$L$6:$L$3786,'Diags Raw Data'!$N$6:$N$3786)/J16)</f>
        <v>1</v>
      </c>
      <c r="L16" s="500" cm="1">
        <f t="array" ref="L16">IF(D16="",0, SUMPRODUCT(--(ISNUMBER(SEARCH($A16,'Diags Raw Data'!$A$6:$A$3786))),'Diags Raw Data'!$L$6:$L$3786,'Diags Raw Data'!$P$6:$P$3786)/J16)</f>
        <v>1</v>
      </c>
      <c r="M16" s="501" cm="1">
        <f t="array" ref="M16">SUMPRODUCT(--(ISNUMBER(SEARCH($A16,'Diags Raw Data'!$A$6:$A$3786))),--('Diags Raw Data'!$Q$6:$Q$3786&lt;&gt;"N/A"),'Diags Raw Data'!$R$6:$R$3786)</f>
        <v>5</v>
      </c>
      <c r="N16" s="502" cm="1">
        <f t="array" ref="N16">SUMPRODUCT(--(ISNUMBER(SEARCH($A16,'Diags Raw Data'!$A$6:$A$3786))),--('Diags Raw Data'!$Q$6:$Q$3786&lt;&gt;"N/A"),'Diags Raw Data'!$T$6:$T$3786)+SUMPRODUCT(--(ISNUMBER(SEARCH($A16,'Diags Raw Data'!$A$6:$A$3786))),--('Diags Raw Data'!$Q$6:$Q$3786&lt;&gt;"N/A"),'Diags Raw Data'!$U$6:$U$3786)</f>
        <v>5</v>
      </c>
      <c r="O16" s="503">
        <f t="shared" si="2"/>
        <v>1</v>
      </c>
      <c r="P16" s="504">
        <f>SUMIF('Diags Raw Data'!$A$6:$A$3786,"*"&amp;$A16&amp;"*",'Diags Raw Data'!$Z$6:$Z$3786)</f>
        <v>0</v>
      </c>
      <c r="Q16" s="505">
        <f>SUM(SUMIF('Diags Raw Data'!$A$6:$A$3786,"*"&amp;$A16&amp;"*",'Diags Raw Data'!$AA$6:$AA$3786),SUMIF('Diags Raw Data'!$A$6:$A$3786,"*"&amp;$A16&amp;"*",'Diags Raw Data'!$AB$6:$AB$3786))</f>
        <v>0</v>
      </c>
      <c r="R16" s="506">
        <f t="shared" si="3"/>
        <v>0</v>
      </c>
      <c r="S16" s="506">
        <f t="shared" si="4"/>
        <v>0</v>
      </c>
      <c r="T16" s="507">
        <f t="shared" si="5"/>
        <v>0</v>
      </c>
      <c r="U16" s="453" t="s">
        <v>1109</v>
      </c>
      <c r="V16" s="181"/>
    </row>
    <row r="17" spans="1:22" s="184" customFormat="1" x14ac:dyDescent="0.25">
      <c r="A17" s="448" t="s">
        <v>386</v>
      </c>
      <c r="B17" s="449" t="str">
        <f>VLOOKUP(A17,'Feature Raw Data'!$A$3:$B$3986,2,FALSE)</f>
        <v>Feature name - EX-FEAT-011</v>
      </c>
      <c r="C17" s="450" t="str">
        <f>VLOOKUP(A17,'Feature Raw Data'!$A$3:$C$3986,3,FALSE)</f>
        <v>P2</v>
      </c>
      <c r="D17" s="451" t="str" cm="1">
        <f t="array" ref="D17">_xlfn.TEXTJOIN("",TRUE,IF(ISNUMBER(SEARCH($A17,'Diags Raw Data'!$A$6:$A$3786)),CONCATENATE('Diags Raw Data'!$H$6:$H$3786,", "),""))</f>
        <v xml:space="preserve">acpaz4.1-3, </v>
      </c>
      <c r="E17" s="342" t="str">
        <f>VLOOKUP(A17,'Diags Raw Data'!$A$6:$D$3786,4,FALSE)</f>
        <v>DMA</v>
      </c>
      <c r="F17" s="342" t="str">
        <f>VLOOKUP(A17,'Feature Raw Data'!$A$3:$E$3986,5,FALSE)</f>
        <v>Legacy</v>
      </c>
      <c r="G17" s="342" t="str">
        <f t="shared" si="0"/>
        <v>Yes</v>
      </c>
      <c r="H17" s="342" t="str">
        <f t="shared" si="1"/>
        <v>Yes</v>
      </c>
      <c r="I17" s="450">
        <f>SUMIF('Diags Raw Data'!$A$6:$A$3786,"*"&amp;$A17&amp;"*",'Diags Raw Data'!$K$6:$K$3786)</f>
        <v>1</v>
      </c>
      <c r="J17" s="452">
        <f>SUMIF('Diags Raw Data'!$A$6:$A$3786,"*"&amp;$A17&amp;"*",'Diags Raw Data'!$L$6:$L$3786)</f>
        <v>3</v>
      </c>
      <c r="K17" s="499" cm="1">
        <f t="array" ref="K17">IF(D17="",0, SUMPRODUCT(--(ISNUMBER(SEARCH($A17,'Diags Raw Data'!$A$6:$A$3786))),'Diags Raw Data'!$L$6:$L$3786,'Diags Raw Data'!$N$6:$N$3786)/J17)</f>
        <v>1</v>
      </c>
      <c r="L17" s="500" cm="1">
        <f t="array" ref="L17">IF(D17="",0, SUMPRODUCT(--(ISNUMBER(SEARCH($A17,'Diags Raw Data'!$A$6:$A$3786))),'Diags Raw Data'!$L$6:$L$3786,'Diags Raw Data'!$P$6:$P$3786)/J17)</f>
        <v>1</v>
      </c>
      <c r="M17" s="501" cm="1">
        <f t="array" ref="M17">SUMPRODUCT(--(ISNUMBER(SEARCH($A17,'Diags Raw Data'!$A$6:$A$3786))),--('Diags Raw Data'!$Q$6:$Q$3786&lt;&gt;"N/A"),'Diags Raw Data'!$R$6:$R$3786)</f>
        <v>3</v>
      </c>
      <c r="N17" s="502" cm="1">
        <f t="array" ref="N17">SUMPRODUCT(--(ISNUMBER(SEARCH($A17,'Diags Raw Data'!$A$6:$A$3786))),--('Diags Raw Data'!$Q$6:$Q$3786&lt;&gt;"N/A"),'Diags Raw Data'!$T$6:$T$3786)+SUMPRODUCT(--(ISNUMBER(SEARCH($A17,'Diags Raw Data'!$A$6:$A$3786))),--('Diags Raw Data'!$Q$6:$Q$3786&lt;&gt;"N/A"),'Diags Raw Data'!$U$6:$U$3786)</f>
        <v>3</v>
      </c>
      <c r="O17" s="503">
        <f t="shared" si="2"/>
        <v>1</v>
      </c>
      <c r="P17" s="504">
        <f>SUMIF('Diags Raw Data'!$A$6:$A$3786,"*"&amp;$A17&amp;"*",'Diags Raw Data'!$Z$6:$Z$3786)</f>
        <v>0</v>
      </c>
      <c r="Q17" s="505">
        <f>SUM(SUMIF('Diags Raw Data'!$A$6:$A$3786,"*"&amp;$A17&amp;"*",'Diags Raw Data'!$AA$6:$AA$3786),SUMIF('Diags Raw Data'!$A$6:$A$3786,"*"&amp;$A17&amp;"*",'Diags Raw Data'!$AB$6:$AB$3786))</f>
        <v>0</v>
      </c>
      <c r="R17" s="506">
        <f t="shared" si="3"/>
        <v>0</v>
      </c>
      <c r="S17" s="506">
        <f t="shared" si="4"/>
        <v>0</v>
      </c>
      <c r="T17" s="507">
        <f t="shared" si="5"/>
        <v>0</v>
      </c>
      <c r="U17" s="453" t="s">
        <v>1110</v>
      </c>
      <c r="V17" s="183"/>
    </row>
    <row r="18" spans="1:22" x14ac:dyDescent="0.25">
      <c r="A18" s="448" t="s">
        <v>389</v>
      </c>
      <c r="B18" s="449" t="str">
        <f>VLOOKUP(A18,'Feature Raw Data'!$A$3:$B$3986,2,FALSE)</f>
        <v>Feature name - EX-FEAT-012</v>
      </c>
      <c r="C18" s="450" t="str">
        <f>VLOOKUP(A18,'Feature Raw Data'!$A$3:$C$3986,3,FALSE)</f>
        <v>P2</v>
      </c>
      <c r="D18" s="451" t="str" cm="1">
        <f t="array" ref="D18">_xlfn.TEXTJOIN("",TRUE,IF(ISNUMBER(SEARCH($A18,'Diags Raw Data'!$A$6:$A$3786)),CONCATENATE('Diags Raw Data'!$H$6:$H$3786,", "),""))</f>
        <v xml:space="preserve">acpaz2, </v>
      </c>
      <c r="E18" s="342" t="str">
        <f>VLOOKUP(A18,'Diags Raw Data'!$A$6:$D$3786,4,FALSE)</f>
        <v>DMA</v>
      </c>
      <c r="F18" s="342" t="str">
        <f>VLOOKUP(A18,'Feature Raw Data'!$A$3:$E$3986,5,FALSE)</f>
        <v>Legacy</v>
      </c>
      <c r="G18" s="342" t="str">
        <f t="shared" si="0"/>
        <v>Yes</v>
      </c>
      <c r="H18" s="342" t="str">
        <f t="shared" si="1"/>
        <v>Yes</v>
      </c>
      <c r="I18" s="450">
        <f>SUMIF('Diags Raw Data'!$A$6:$A$3786,"*"&amp;$A18&amp;"*",'Diags Raw Data'!$K$6:$K$3786)</f>
        <v>1</v>
      </c>
      <c r="J18" s="452">
        <f>SUMIF('Diags Raw Data'!$A$6:$A$3786,"*"&amp;$A18&amp;"*",'Diags Raw Data'!$L$6:$L$3786)</f>
        <v>1</v>
      </c>
      <c r="K18" s="499" cm="1">
        <f t="array" ref="K18">IF(D18="",0, SUMPRODUCT(--(ISNUMBER(SEARCH($A18,'Diags Raw Data'!$A$6:$A$3786))),'Diags Raw Data'!$L$6:$L$3786,'Diags Raw Data'!$N$6:$N$3786)/J18)</f>
        <v>1</v>
      </c>
      <c r="L18" s="500" cm="1">
        <f t="array" ref="L18">IF(D18="",0, SUMPRODUCT(--(ISNUMBER(SEARCH($A18,'Diags Raw Data'!$A$6:$A$3786))),'Diags Raw Data'!$L$6:$L$3786,'Diags Raw Data'!$P$6:$P$3786)/J18)</f>
        <v>1</v>
      </c>
      <c r="M18" s="501" cm="1">
        <f t="array" ref="M18">SUMPRODUCT(--(ISNUMBER(SEARCH($A18,'Diags Raw Data'!$A$6:$A$3786))),--('Diags Raw Data'!$Q$6:$Q$3786&lt;&gt;"N/A"),'Diags Raw Data'!$R$6:$R$3786)</f>
        <v>1</v>
      </c>
      <c r="N18" s="502" cm="1">
        <f t="array" ref="N18">SUMPRODUCT(--(ISNUMBER(SEARCH($A18,'Diags Raw Data'!$A$6:$A$3786))),--('Diags Raw Data'!$Q$6:$Q$3786&lt;&gt;"N/A"),'Diags Raw Data'!$T$6:$T$3786)+SUMPRODUCT(--(ISNUMBER(SEARCH($A18,'Diags Raw Data'!$A$6:$A$3786))),--('Diags Raw Data'!$Q$6:$Q$3786&lt;&gt;"N/A"),'Diags Raw Data'!$U$6:$U$3786)</f>
        <v>1</v>
      </c>
      <c r="O18" s="503">
        <f t="shared" si="2"/>
        <v>1</v>
      </c>
      <c r="P18" s="504">
        <f>SUMIF('Diags Raw Data'!$A$6:$A$3786,"*"&amp;$A18&amp;"*",'Diags Raw Data'!$Z$6:$Z$3786)</f>
        <v>0</v>
      </c>
      <c r="Q18" s="505">
        <f>SUM(SUMIF('Diags Raw Data'!$A$6:$A$3786,"*"&amp;$A18&amp;"*",'Diags Raw Data'!$AA$6:$AA$3786),SUMIF('Diags Raw Data'!$A$6:$A$3786,"*"&amp;$A18&amp;"*",'Diags Raw Data'!$AB$6:$AB$3786))</f>
        <v>0</v>
      </c>
      <c r="R18" s="506">
        <f t="shared" si="3"/>
        <v>0</v>
      </c>
      <c r="S18" s="506">
        <f t="shared" si="4"/>
        <v>0</v>
      </c>
      <c r="T18" s="507">
        <f t="shared" si="5"/>
        <v>0</v>
      </c>
      <c r="U18" s="453" t="s">
        <v>47</v>
      </c>
      <c r="V18" s="181"/>
    </row>
    <row r="19" spans="1:22" x14ac:dyDescent="0.25">
      <c r="A19" s="448" t="s">
        <v>391</v>
      </c>
      <c r="B19" s="449" t="str">
        <f>VLOOKUP(A19,'Feature Raw Data'!$A$3:$B$3986,2,FALSE)</f>
        <v>Feature name - EX-FEAT-013</v>
      </c>
      <c r="C19" s="450" t="str">
        <f>VLOOKUP(A19,'Feature Raw Data'!$A$3:$C$3986,3,FALSE)</f>
        <v>P2</v>
      </c>
      <c r="D19" s="451" t="str" cm="1">
        <f t="array" ref="D19">_xlfn.TEXTJOIN("",TRUE,IF(ISNUMBER(SEARCH($A19,'Diags Raw Data'!$A$6:$A$3786)),CONCATENATE('Diags Raw Data'!$H$6:$H$3786,", "),""))</f>
        <v xml:space="preserve">acpaz7.1-5, </v>
      </c>
      <c r="E19" s="342" t="str">
        <f>VLOOKUP(A19,'Diags Raw Data'!$A$6:$D$3786,4,FALSE)</f>
        <v>DMA</v>
      </c>
      <c r="F19" s="342" t="str">
        <f>VLOOKUP(A19,'Feature Raw Data'!$A$3:$E$3986,5,FALSE)</f>
        <v>Legacy</v>
      </c>
      <c r="G19" s="342" t="str">
        <f t="shared" si="0"/>
        <v>Yes</v>
      </c>
      <c r="H19" s="342" t="str">
        <f t="shared" si="1"/>
        <v>Yes</v>
      </c>
      <c r="I19" s="450">
        <f>SUMIF('Diags Raw Data'!$A$6:$A$3786,"*"&amp;$A19&amp;"*",'Diags Raw Data'!$K$6:$K$3786)</f>
        <v>1</v>
      </c>
      <c r="J19" s="452">
        <f>SUMIF('Diags Raw Data'!$A$6:$A$3786,"*"&amp;$A19&amp;"*",'Diags Raw Data'!$L$6:$L$3786)</f>
        <v>5</v>
      </c>
      <c r="K19" s="499" cm="1">
        <f t="array" ref="K19">IF(D19="",0, SUMPRODUCT(--(ISNUMBER(SEARCH($A19,'Diags Raw Data'!$A$6:$A$3786))),'Diags Raw Data'!$L$6:$L$3786,'Diags Raw Data'!$N$6:$N$3786)/J19)</f>
        <v>1</v>
      </c>
      <c r="L19" s="500" cm="1">
        <f t="array" ref="L19">IF(D19="",0, SUMPRODUCT(--(ISNUMBER(SEARCH($A19,'Diags Raw Data'!$A$6:$A$3786))),'Diags Raw Data'!$L$6:$L$3786,'Diags Raw Data'!$P$6:$P$3786)/J19)</f>
        <v>1</v>
      </c>
      <c r="M19" s="501" cm="1">
        <f t="array" ref="M19">SUMPRODUCT(--(ISNUMBER(SEARCH($A19,'Diags Raw Data'!$A$6:$A$3786))),--('Diags Raw Data'!$Q$6:$Q$3786&lt;&gt;"N/A"),'Diags Raw Data'!$R$6:$R$3786)</f>
        <v>5</v>
      </c>
      <c r="N19" s="502" cm="1">
        <f t="array" ref="N19">SUMPRODUCT(--(ISNUMBER(SEARCH($A19,'Diags Raw Data'!$A$6:$A$3786))),--('Diags Raw Data'!$Q$6:$Q$3786&lt;&gt;"N/A"),'Diags Raw Data'!$T$6:$T$3786)+SUMPRODUCT(--(ISNUMBER(SEARCH($A19,'Diags Raw Data'!$A$6:$A$3786))),--('Diags Raw Data'!$Q$6:$Q$3786&lt;&gt;"N/A"),'Diags Raw Data'!$U$6:$U$3786)</f>
        <v>5</v>
      </c>
      <c r="O19" s="503">
        <f t="shared" si="2"/>
        <v>1</v>
      </c>
      <c r="P19" s="504">
        <f>SUMIF('Diags Raw Data'!$A$6:$A$3786,"*"&amp;$A19&amp;"*",'Diags Raw Data'!$Z$6:$Z$3786)</f>
        <v>0</v>
      </c>
      <c r="Q19" s="505">
        <f>SUM(SUMIF('Diags Raw Data'!$A$6:$A$3786,"*"&amp;$A19&amp;"*",'Diags Raw Data'!$AA$6:$AA$3786),SUMIF('Diags Raw Data'!$A$6:$A$3786,"*"&amp;$A19&amp;"*",'Diags Raw Data'!$AB$6:$AB$3786))</f>
        <v>0</v>
      </c>
      <c r="R19" s="506">
        <f t="shared" si="3"/>
        <v>0</v>
      </c>
      <c r="S19" s="506">
        <f t="shared" si="4"/>
        <v>0</v>
      </c>
      <c r="T19" s="507">
        <f t="shared" si="5"/>
        <v>0</v>
      </c>
      <c r="U19" s="453" t="s">
        <v>47</v>
      </c>
      <c r="V19" s="181"/>
    </row>
    <row r="20" spans="1:22" x14ac:dyDescent="0.25">
      <c r="A20" s="448" t="s">
        <v>396</v>
      </c>
      <c r="B20" s="449" t="str">
        <f>VLOOKUP(A20,'Feature Raw Data'!$A$3:$B$3986,2,FALSE)</f>
        <v>Feature name - EX-FEAT-014</v>
      </c>
      <c r="C20" s="450" t="str">
        <f>VLOOKUP(A20,'Feature Raw Data'!$A$3:$C$3986,3,FALSE)</f>
        <v>P2</v>
      </c>
      <c r="D20" s="451" t="str" cm="1">
        <f t="array" ref="D20">_xlfn.TEXTJOIN("",TRUE,IF(ISNUMBER(SEARCH($A20,'Diags Raw Data'!$A$6:$A$3786)),CONCATENATE('Diags Raw Data'!$H$6:$H$3786,", "),""))</f>
        <v xml:space="preserve">acpaz5, </v>
      </c>
      <c r="E20" s="342" t="str">
        <f>VLOOKUP(A20,'Diags Raw Data'!$A$6:$D$3786,4,FALSE)</f>
        <v>DMA</v>
      </c>
      <c r="F20" s="342" t="str">
        <f>VLOOKUP(A20,'Feature Raw Data'!$A$3:$E$3986,5,FALSE)</f>
        <v>Legacy</v>
      </c>
      <c r="G20" s="342" t="str">
        <f t="shared" si="0"/>
        <v>Yes</v>
      </c>
      <c r="H20" s="342" t="str">
        <f t="shared" si="1"/>
        <v>Yes</v>
      </c>
      <c r="I20" s="450">
        <f>SUMIF('Diags Raw Data'!$A$6:$A$3786,"*"&amp;$A20&amp;"*",'Diags Raw Data'!$K$6:$K$3786)</f>
        <v>1</v>
      </c>
      <c r="J20" s="452">
        <f>SUMIF('Diags Raw Data'!$A$6:$A$3786,"*"&amp;$A20&amp;"*",'Diags Raw Data'!$L$6:$L$3786)</f>
        <v>1</v>
      </c>
      <c r="K20" s="499" cm="1">
        <f t="array" ref="K20">IF(D20="",0, SUMPRODUCT(--(ISNUMBER(SEARCH($A20,'Diags Raw Data'!$A$6:$A$3786))),'Diags Raw Data'!$L$6:$L$3786,'Diags Raw Data'!$N$6:$N$3786)/J20)</f>
        <v>1</v>
      </c>
      <c r="L20" s="500" cm="1">
        <f t="array" ref="L20">IF(D20="",0, SUMPRODUCT(--(ISNUMBER(SEARCH($A20,'Diags Raw Data'!$A$6:$A$3786))),'Diags Raw Data'!$L$6:$L$3786,'Diags Raw Data'!$P$6:$P$3786)/J20)</f>
        <v>1</v>
      </c>
      <c r="M20" s="501" cm="1">
        <f t="array" ref="M20">SUMPRODUCT(--(ISNUMBER(SEARCH($A20,'Diags Raw Data'!$A$6:$A$3786))),--('Diags Raw Data'!$Q$6:$Q$3786&lt;&gt;"N/A"),'Diags Raw Data'!$R$6:$R$3786)</f>
        <v>1</v>
      </c>
      <c r="N20" s="502" cm="1">
        <f t="array" ref="N20">SUMPRODUCT(--(ISNUMBER(SEARCH($A20,'Diags Raw Data'!$A$6:$A$3786))),--('Diags Raw Data'!$Q$6:$Q$3786&lt;&gt;"N/A"),'Diags Raw Data'!$T$6:$T$3786)+SUMPRODUCT(--(ISNUMBER(SEARCH($A20,'Diags Raw Data'!$A$6:$A$3786))),--('Diags Raw Data'!$Q$6:$Q$3786&lt;&gt;"N/A"),'Diags Raw Data'!$U$6:$U$3786)</f>
        <v>1</v>
      </c>
      <c r="O20" s="503">
        <f t="shared" si="2"/>
        <v>1</v>
      </c>
      <c r="P20" s="504">
        <f>SUMIF('Diags Raw Data'!$A$6:$A$3786,"*"&amp;$A20&amp;"*",'Diags Raw Data'!$Z$6:$Z$3786)</f>
        <v>0</v>
      </c>
      <c r="Q20" s="505">
        <f>SUM(SUMIF('Diags Raw Data'!$A$6:$A$3786,"*"&amp;$A20&amp;"*",'Diags Raw Data'!$AA$6:$AA$3786),SUMIF('Diags Raw Data'!$A$6:$A$3786,"*"&amp;$A20&amp;"*",'Diags Raw Data'!$AB$6:$AB$3786))</f>
        <v>0</v>
      </c>
      <c r="R20" s="506">
        <f t="shared" si="3"/>
        <v>0</v>
      </c>
      <c r="S20" s="506">
        <f t="shared" si="4"/>
        <v>0</v>
      </c>
      <c r="T20" s="507">
        <f t="shared" si="5"/>
        <v>0</v>
      </c>
      <c r="U20" s="453" t="s">
        <v>47</v>
      </c>
      <c r="V20" s="181"/>
    </row>
    <row r="21" spans="1:22" x14ac:dyDescent="0.25">
      <c r="A21" s="448" t="s">
        <v>401</v>
      </c>
      <c r="B21" s="449" t="str">
        <f>VLOOKUP(A21,'Feature Raw Data'!$A$3:$B$3986,2,FALSE)</f>
        <v>Feature name - EX-FEAT-015</v>
      </c>
      <c r="C21" s="450" t="str">
        <f>VLOOKUP(A21,'Feature Raw Data'!$A$3:$C$3986,3,FALSE)</f>
        <v>P2</v>
      </c>
      <c r="D21" s="451" t="str" cm="1">
        <f t="array" ref="D21">_xlfn.TEXTJOIN("",TRUE,IF(ISNUMBER(SEARCH($A21,'Diags Raw Data'!$A$6:$A$3786)),CONCATENATE('Diags Raw Data'!$H$6:$H$3786,", "),""))</f>
        <v xml:space="preserve">acpaz2, </v>
      </c>
      <c r="E21" s="342" t="str">
        <f>VLOOKUP(A21,'Diags Raw Data'!$A$6:$D$3786,4,FALSE)</f>
        <v>DMA</v>
      </c>
      <c r="F21" s="342" t="str">
        <f>VLOOKUP(A21,'Feature Raw Data'!$A$3:$E$3986,5,FALSE)</f>
        <v>Legacy</v>
      </c>
      <c r="G21" s="342" t="str">
        <f t="shared" si="0"/>
        <v>Yes</v>
      </c>
      <c r="H21" s="342" t="str">
        <f t="shared" si="1"/>
        <v>Yes</v>
      </c>
      <c r="I21" s="450">
        <f>SUMIF('Diags Raw Data'!$A$6:$A$3786,"*"&amp;$A21&amp;"*",'Diags Raw Data'!$K$6:$K$3786)</f>
        <v>1</v>
      </c>
      <c r="J21" s="452">
        <f>SUMIF('Diags Raw Data'!$A$6:$A$3786,"*"&amp;$A21&amp;"*",'Diags Raw Data'!$L$6:$L$3786)</f>
        <v>1</v>
      </c>
      <c r="K21" s="499" cm="1">
        <f t="array" ref="K21">IF(D21="",0, SUMPRODUCT(--(ISNUMBER(SEARCH($A21,'Diags Raw Data'!$A$6:$A$3786))),'Diags Raw Data'!$L$6:$L$3786,'Diags Raw Data'!$N$6:$N$3786)/J21)</f>
        <v>1</v>
      </c>
      <c r="L21" s="500" cm="1">
        <f t="array" ref="L21">IF(D21="",0, SUMPRODUCT(--(ISNUMBER(SEARCH($A21,'Diags Raw Data'!$A$6:$A$3786))),'Diags Raw Data'!$L$6:$L$3786,'Diags Raw Data'!$P$6:$P$3786)/J21)</f>
        <v>1</v>
      </c>
      <c r="M21" s="501" cm="1">
        <f t="array" ref="M21">SUMPRODUCT(--(ISNUMBER(SEARCH($A21,'Diags Raw Data'!$A$6:$A$3786))),--('Diags Raw Data'!$Q$6:$Q$3786&lt;&gt;"N/A"),'Diags Raw Data'!$R$6:$R$3786)</f>
        <v>1</v>
      </c>
      <c r="N21" s="502" cm="1">
        <f t="array" ref="N21">SUMPRODUCT(--(ISNUMBER(SEARCH($A21,'Diags Raw Data'!$A$6:$A$3786))),--('Diags Raw Data'!$Q$6:$Q$3786&lt;&gt;"N/A"),'Diags Raw Data'!$T$6:$T$3786)+SUMPRODUCT(--(ISNUMBER(SEARCH($A21,'Diags Raw Data'!$A$6:$A$3786))),--('Diags Raw Data'!$Q$6:$Q$3786&lt;&gt;"N/A"),'Diags Raw Data'!$U$6:$U$3786)</f>
        <v>1</v>
      </c>
      <c r="O21" s="503">
        <f t="shared" si="2"/>
        <v>1</v>
      </c>
      <c r="P21" s="504">
        <f>SUMIF('Diags Raw Data'!$A$6:$A$3786,"*"&amp;$A21&amp;"*",'Diags Raw Data'!$Z$6:$Z$3786)</f>
        <v>0</v>
      </c>
      <c r="Q21" s="505">
        <f>SUM(SUMIF('Diags Raw Data'!$A$6:$A$3786,"*"&amp;$A21&amp;"*",'Diags Raw Data'!$AA$6:$AA$3786),SUMIF('Diags Raw Data'!$A$6:$A$3786,"*"&amp;$A21&amp;"*",'Diags Raw Data'!$AB$6:$AB$3786))</f>
        <v>0</v>
      </c>
      <c r="R21" s="506">
        <f t="shared" si="3"/>
        <v>0</v>
      </c>
      <c r="S21" s="506">
        <f t="shared" si="4"/>
        <v>0</v>
      </c>
      <c r="T21" s="507">
        <f t="shared" si="5"/>
        <v>0</v>
      </c>
      <c r="U21" s="453" t="s">
        <v>47</v>
      </c>
      <c r="V21" s="181"/>
    </row>
    <row r="22" spans="1:22" x14ac:dyDescent="0.25">
      <c r="A22" s="448" t="s">
        <v>404</v>
      </c>
      <c r="B22" s="449" t="str">
        <f>VLOOKUP(A22,'Feature Raw Data'!$A$3:$B$3986,2,FALSE)</f>
        <v>Feature name - EX-FEAT-016</v>
      </c>
      <c r="C22" s="450" t="str">
        <f>VLOOKUP(A22,'Feature Raw Data'!$A$3:$C$3986,3,FALSE)</f>
        <v>P2</v>
      </c>
      <c r="D22" s="451" t="str" cm="1">
        <f t="array" ref="D22">_xlfn.TEXTJOIN("",TRUE,IF(ISNUMBER(SEARCH($A22,'Diags Raw Data'!$A$6:$A$3786)),CONCATENATE('Diags Raw Data'!$H$6:$H$3786,", "),""))</f>
        <v xml:space="preserve">acpaz2, acpaz203, </v>
      </c>
      <c r="E22" s="342" t="str">
        <f>VLOOKUP(A22,'Diags Raw Data'!$A$6:$D$3786,4,FALSE)</f>
        <v>DMA</v>
      </c>
      <c r="F22" s="342" t="str">
        <f>VLOOKUP(A22,'Feature Raw Data'!$A$3:$E$3986,5,FALSE)</f>
        <v>Legacy</v>
      </c>
      <c r="G22" s="342" t="str">
        <f t="shared" si="0"/>
        <v>Yes</v>
      </c>
      <c r="H22" s="342" t="str">
        <f t="shared" si="1"/>
        <v>Yes</v>
      </c>
      <c r="I22" s="450">
        <f>SUMIF('Diags Raw Data'!$A$6:$A$3786,"*"&amp;$A22&amp;"*",'Diags Raw Data'!$K$6:$K$3786)</f>
        <v>2</v>
      </c>
      <c r="J22" s="452">
        <f>SUMIF('Diags Raw Data'!$A$6:$A$3786,"*"&amp;$A22&amp;"*",'Diags Raw Data'!$L$6:$L$3786)</f>
        <v>2</v>
      </c>
      <c r="K22" s="499" cm="1">
        <f t="array" ref="K22">IF(D22="",0, SUMPRODUCT(--(ISNUMBER(SEARCH($A22,'Diags Raw Data'!$A$6:$A$3786))),'Diags Raw Data'!$L$6:$L$3786,'Diags Raw Data'!$N$6:$N$3786)/J22)</f>
        <v>1</v>
      </c>
      <c r="L22" s="500" cm="1">
        <f t="array" ref="L22">IF(D22="",0, SUMPRODUCT(--(ISNUMBER(SEARCH($A22,'Diags Raw Data'!$A$6:$A$3786))),'Diags Raw Data'!$L$6:$L$3786,'Diags Raw Data'!$P$6:$P$3786)/J22)</f>
        <v>1</v>
      </c>
      <c r="M22" s="501" cm="1">
        <f t="array" ref="M22">SUMPRODUCT(--(ISNUMBER(SEARCH($A22,'Diags Raw Data'!$A$6:$A$3786))),--('Diags Raw Data'!$Q$6:$Q$3786&lt;&gt;"N/A"),'Diags Raw Data'!$R$6:$R$3786)</f>
        <v>2</v>
      </c>
      <c r="N22" s="502" cm="1">
        <f t="array" ref="N22">SUMPRODUCT(--(ISNUMBER(SEARCH($A22,'Diags Raw Data'!$A$6:$A$3786))),--('Diags Raw Data'!$Q$6:$Q$3786&lt;&gt;"N/A"),'Diags Raw Data'!$T$6:$T$3786)+SUMPRODUCT(--(ISNUMBER(SEARCH($A22,'Diags Raw Data'!$A$6:$A$3786))),--('Diags Raw Data'!$Q$6:$Q$3786&lt;&gt;"N/A"),'Diags Raw Data'!$U$6:$U$3786)</f>
        <v>2</v>
      </c>
      <c r="O22" s="503">
        <f t="shared" si="2"/>
        <v>1</v>
      </c>
      <c r="P22" s="504">
        <f>SUMIF('Diags Raw Data'!$A$6:$A$3786,"*"&amp;$A22&amp;"*",'Diags Raw Data'!$Z$6:$Z$3786)</f>
        <v>0</v>
      </c>
      <c r="Q22" s="505">
        <f>SUM(SUMIF('Diags Raw Data'!$A$6:$A$3786,"*"&amp;$A22&amp;"*",'Diags Raw Data'!$AA$6:$AA$3786),SUMIF('Diags Raw Data'!$A$6:$A$3786,"*"&amp;$A22&amp;"*",'Diags Raw Data'!$AB$6:$AB$3786))</f>
        <v>0</v>
      </c>
      <c r="R22" s="506">
        <f t="shared" si="3"/>
        <v>0</v>
      </c>
      <c r="S22" s="506">
        <f t="shared" si="4"/>
        <v>0</v>
      </c>
      <c r="T22" s="507">
        <f t="shared" si="5"/>
        <v>0</v>
      </c>
      <c r="U22" s="453" t="s">
        <v>47</v>
      </c>
      <c r="V22" s="181"/>
    </row>
    <row r="23" spans="1:22" x14ac:dyDescent="0.25">
      <c r="A23" s="448" t="s">
        <v>411</v>
      </c>
      <c r="B23" s="449" t="str">
        <f>VLOOKUP(A23,'Feature Raw Data'!$A$3:$B$3986,2,FALSE)</f>
        <v>Feature name - EX-FEAT-017</v>
      </c>
      <c r="C23" s="450" t="str">
        <f>VLOOKUP(A23,'Feature Raw Data'!$A$3:$C$3986,3,FALSE)</f>
        <v>P2</v>
      </c>
      <c r="D23" s="451" t="str" cm="1">
        <f t="array" ref="D23">_xlfn.TEXTJOIN("",TRUE,IF(ISNUMBER(SEARCH($A23,'Diags Raw Data'!$A$6:$A$3786)),CONCATENATE('Diags Raw Data'!$H$6:$H$3786,", "),""))</f>
        <v xml:space="preserve">acpaz27.1, </v>
      </c>
      <c r="E23" s="342" t="str">
        <f>VLOOKUP(A23,'Diags Raw Data'!$A$6:$D$3786,4,FALSE)</f>
        <v>DMA</v>
      </c>
      <c r="F23" s="342" t="str">
        <f>VLOOKUP(A23,'Feature Raw Data'!$A$3:$E$3986,5,FALSE)</f>
        <v>Legacy</v>
      </c>
      <c r="G23" s="342" t="str">
        <f t="shared" si="0"/>
        <v>Yes</v>
      </c>
      <c r="H23" s="342" t="str">
        <f t="shared" si="1"/>
        <v>Yes</v>
      </c>
      <c r="I23" s="450">
        <f>SUMIF('Diags Raw Data'!$A$6:$A$3786,"*"&amp;$A23&amp;"*",'Diags Raw Data'!$K$6:$K$3786)</f>
        <v>1</v>
      </c>
      <c r="J23" s="452">
        <f>SUMIF('Diags Raw Data'!$A$6:$A$3786,"*"&amp;$A23&amp;"*",'Diags Raw Data'!$L$6:$L$3786)</f>
        <v>2</v>
      </c>
      <c r="K23" s="499" cm="1">
        <f t="array" ref="K23">IF(D23="",0, SUMPRODUCT(--(ISNUMBER(SEARCH($A23,'Diags Raw Data'!$A$6:$A$3786))),'Diags Raw Data'!$L$6:$L$3786,'Diags Raw Data'!$N$6:$N$3786)/J23)</f>
        <v>1</v>
      </c>
      <c r="L23" s="500" cm="1">
        <f t="array" ref="L23">IF(D23="",0, SUMPRODUCT(--(ISNUMBER(SEARCH($A23,'Diags Raw Data'!$A$6:$A$3786))),'Diags Raw Data'!$L$6:$L$3786,'Diags Raw Data'!$P$6:$P$3786)/J23)</f>
        <v>1</v>
      </c>
      <c r="M23" s="501" cm="1">
        <f t="array" ref="M23">SUMPRODUCT(--(ISNUMBER(SEARCH($A23,'Diags Raw Data'!$A$6:$A$3786))),--('Diags Raw Data'!$Q$6:$Q$3786&lt;&gt;"N/A"),'Diags Raw Data'!$R$6:$R$3786)</f>
        <v>2</v>
      </c>
      <c r="N23" s="502" cm="1">
        <f t="array" ref="N23">SUMPRODUCT(--(ISNUMBER(SEARCH($A23,'Diags Raw Data'!$A$6:$A$3786))),--('Diags Raw Data'!$Q$6:$Q$3786&lt;&gt;"N/A"),'Diags Raw Data'!$T$6:$T$3786)+SUMPRODUCT(--(ISNUMBER(SEARCH($A23,'Diags Raw Data'!$A$6:$A$3786))),--('Diags Raw Data'!$Q$6:$Q$3786&lt;&gt;"N/A"),'Diags Raw Data'!$U$6:$U$3786)</f>
        <v>2</v>
      </c>
      <c r="O23" s="503">
        <f t="shared" si="2"/>
        <v>1</v>
      </c>
      <c r="P23" s="504">
        <f>SUMIF('Diags Raw Data'!$A$6:$A$3786,"*"&amp;$A23&amp;"*",'Diags Raw Data'!$Z$6:$Z$3786)</f>
        <v>0</v>
      </c>
      <c r="Q23" s="505">
        <f>SUM(SUMIF('Diags Raw Data'!$A$6:$A$3786,"*"&amp;$A23&amp;"*",'Diags Raw Data'!$AA$6:$AA$3786),SUMIF('Diags Raw Data'!$A$6:$A$3786,"*"&amp;$A23&amp;"*",'Diags Raw Data'!$AB$6:$AB$3786))</f>
        <v>0</v>
      </c>
      <c r="R23" s="506">
        <f t="shared" si="3"/>
        <v>0</v>
      </c>
      <c r="S23" s="506">
        <f t="shared" si="4"/>
        <v>0</v>
      </c>
      <c r="T23" s="507">
        <f t="shared" si="5"/>
        <v>0</v>
      </c>
      <c r="U23" s="453" t="s">
        <v>1110</v>
      </c>
      <c r="V23" s="181"/>
    </row>
    <row r="24" spans="1:22" ht="45" x14ac:dyDescent="0.25">
      <c r="A24" s="448" t="s">
        <v>415</v>
      </c>
      <c r="B24" s="449" t="str">
        <f>VLOOKUP(A24,'Feature Raw Data'!$A$3:$B$3986,2,FALSE)</f>
        <v>Feature name - EX-FEAT-018</v>
      </c>
      <c r="C24" s="450" t="str">
        <f>VLOOKUP(A24,'Feature Raw Data'!$A$3:$C$3986,3,FALSE)</f>
        <v>P2</v>
      </c>
      <c r="D24" s="451" t="str" cm="1">
        <f t="array" ref="D24">_xlfn.TEXTJOIN("",TRUE,IF(ISNUMBER(SEARCH($A24,'Diags Raw Data'!$A$6:$A$3786)),CONCATENATE('Diags Raw Data'!$H$6:$H$3786,", "),""))</f>
        <v xml:space="preserve">Manual, </v>
      </c>
      <c r="E24" s="342" t="str">
        <f>VLOOKUP(A24,'Diags Raw Data'!$A$6:$D$3786,4,FALSE)</f>
        <v>Position tracking counters</v>
      </c>
      <c r="F24" s="342" t="str">
        <f>VLOOKUP(A24,'Feature Raw Data'!$A$3:$E$3986,5,FALSE)</f>
        <v>Legacy</v>
      </c>
      <c r="G24" s="342" t="str">
        <f t="shared" si="0"/>
        <v>Yes</v>
      </c>
      <c r="H24" s="342" t="str">
        <f t="shared" si="1"/>
        <v>Yes</v>
      </c>
      <c r="I24" s="450">
        <f>SUMIF('Diags Raw Data'!$A$6:$A$3786,"*"&amp;$A24&amp;"*",'Diags Raw Data'!$K$6:$K$3786)</f>
        <v>1</v>
      </c>
      <c r="J24" s="452">
        <f>SUMIF('Diags Raw Data'!$A$6:$A$3786,"*"&amp;$A24&amp;"*",'Diags Raw Data'!$L$6:$L$3786)</f>
        <v>1</v>
      </c>
      <c r="K24" s="499" cm="1">
        <f t="array" ref="K24">IF(D24="",0, SUMPRODUCT(--(ISNUMBER(SEARCH($A24,'Diags Raw Data'!$A$6:$A$3786))),'Diags Raw Data'!$L$6:$L$3786,'Diags Raw Data'!$N$6:$N$3786)/J24)</f>
        <v>1</v>
      </c>
      <c r="L24" s="500" cm="1">
        <f t="array" ref="L24">IF(D24="",0, SUMPRODUCT(--(ISNUMBER(SEARCH($A24,'Diags Raw Data'!$A$6:$A$3786))),'Diags Raw Data'!$L$6:$L$3786,'Diags Raw Data'!$P$6:$P$3786)/J24)</f>
        <v>1</v>
      </c>
      <c r="M24" s="501" cm="1">
        <f t="array" ref="M24">SUMPRODUCT(--(ISNUMBER(SEARCH($A24,'Diags Raw Data'!$A$6:$A$3786))),--('Diags Raw Data'!$Q$6:$Q$3786&lt;&gt;"N/A"),'Diags Raw Data'!$R$6:$R$3786)</f>
        <v>1</v>
      </c>
      <c r="N24" s="502" cm="1">
        <f t="array" ref="N24">SUMPRODUCT(--(ISNUMBER(SEARCH($A24,'Diags Raw Data'!$A$6:$A$3786))),--('Diags Raw Data'!$Q$6:$Q$3786&lt;&gt;"N/A"),'Diags Raw Data'!$T$6:$T$3786)+SUMPRODUCT(--(ISNUMBER(SEARCH($A24,'Diags Raw Data'!$A$6:$A$3786))),--('Diags Raw Data'!$Q$6:$Q$3786&lt;&gt;"N/A"),'Diags Raw Data'!$U$6:$U$3786)</f>
        <v>1</v>
      </c>
      <c r="O24" s="503">
        <f t="shared" si="2"/>
        <v>1</v>
      </c>
      <c r="P24" s="504">
        <f>SUMIF('Diags Raw Data'!$A$6:$A$3786,"*"&amp;$A24&amp;"*",'Diags Raw Data'!$Z$6:$Z$3786)</f>
        <v>0</v>
      </c>
      <c r="Q24" s="505">
        <f>SUM(SUMIF('Diags Raw Data'!$A$6:$A$3786,"*"&amp;$A24&amp;"*",'Diags Raw Data'!$AA$6:$AA$3786),SUMIF('Diags Raw Data'!$A$6:$A$3786,"*"&amp;$A24&amp;"*",'Diags Raw Data'!$AB$6:$AB$3786))</f>
        <v>0</v>
      </c>
      <c r="R24" s="506">
        <f t="shared" si="3"/>
        <v>0</v>
      </c>
      <c r="S24" s="506">
        <f t="shared" si="4"/>
        <v>0</v>
      </c>
      <c r="T24" s="507">
        <f t="shared" si="5"/>
        <v>0</v>
      </c>
      <c r="U24" s="453" t="s">
        <v>1112</v>
      </c>
      <c r="V24" s="181"/>
    </row>
    <row r="25" spans="1:22" x14ac:dyDescent="0.25">
      <c r="A25" s="448" t="s">
        <v>418</v>
      </c>
      <c r="B25" s="449" t="str">
        <f>VLOOKUP(A25,'Feature Raw Data'!$A$3:$B$3986,2,FALSE)</f>
        <v>Feature name - EX-FEAT-019</v>
      </c>
      <c r="C25" s="450" t="str">
        <f>VLOOKUP(A25,'Feature Raw Data'!$A$3:$C$3986,3,FALSE)</f>
        <v>P2</v>
      </c>
      <c r="D25" s="451" t="str" cm="1">
        <f t="array" ref="D25">_xlfn.TEXTJOIN("",TRUE,IF(ISNUMBER(SEARCH($A25,'Diags Raw Data'!$A$6:$A$3786)),CONCATENATE('Diags Raw Data'!$H$6:$H$3786,", "),""))</f>
        <v xml:space="preserve">acpaz66, </v>
      </c>
      <c r="E25" s="342" t="str">
        <f>VLOOKUP(A25,'Diags Raw Data'!$A$6:$D$3786,4,FALSE)</f>
        <v>DSP Test</v>
      </c>
      <c r="F25" s="342" t="str">
        <f>VLOOKUP(A25,'Feature Raw Data'!$A$3:$E$3986,5,FALSE)</f>
        <v>Legacy</v>
      </c>
      <c r="G25" s="342" t="str">
        <f t="shared" si="0"/>
        <v>Yes</v>
      </c>
      <c r="H25" s="342" t="str">
        <f t="shared" si="1"/>
        <v>Yes</v>
      </c>
      <c r="I25" s="450">
        <f>SUMIF('Diags Raw Data'!$A$6:$A$3786,"*"&amp;$A25&amp;"*",'Diags Raw Data'!$K$6:$K$3786)</f>
        <v>1</v>
      </c>
      <c r="J25" s="452">
        <f>SUMIF('Diags Raw Data'!$A$6:$A$3786,"*"&amp;$A25&amp;"*",'Diags Raw Data'!$L$6:$L$3786)</f>
        <v>1</v>
      </c>
      <c r="K25" s="499" cm="1">
        <f t="array" ref="K25">IF(D25="",0, SUMPRODUCT(--(ISNUMBER(SEARCH($A25,'Diags Raw Data'!$A$6:$A$3786))),'Diags Raw Data'!$L$6:$L$3786,'Diags Raw Data'!$N$6:$N$3786)/J25)</f>
        <v>1</v>
      </c>
      <c r="L25" s="500" cm="1">
        <f t="array" ref="L25">IF(D25="",0, SUMPRODUCT(--(ISNUMBER(SEARCH($A25,'Diags Raw Data'!$A$6:$A$3786))),'Diags Raw Data'!$L$6:$L$3786,'Diags Raw Data'!$P$6:$P$3786)/J25)</f>
        <v>1</v>
      </c>
      <c r="M25" s="501" cm="1">
        <f t="array" ref="M25">SUMPRODUCT(--(ISNUMBER(SEARCH($A25,'Diags Raw Data'!$A$6:$A$3786))),--('Diags Raw Data'!$Q$6:$Q$3786&lt;&gt;"N/A"),'Diags Raw Data'!$R$6:$R$3786)</f>
        <v>1</v>
      </c>
      <c r="N25" s="502" cm="1">
        <f t="array" ref="N25">SUMPRODUCT(--(ISNUMBER(SEARCH($A25,'Diags Raw Data'!$A$6:$A$3786))),--('Diags Raw Data'!$Q$6:$Q$3786&lt;&gt;"N/A"),'Diags Raw Data'!$T$6:$T$3786)+SUMPRODUCT(--(ISNUMBER(SEARCH($A25,'Diags Raw Data'!$A$6:$A$3786))),--('Diags Raw Data'!$Q$6:$Q$3786&lt;&gt;"N/A"),'Diags Raw Data'!$U$6:$U$3786)</f>
        <v>1</v>
      </c>
      <c r="O25" s="503">
        <f t="shared" si="2"/>
        <v>1</v>
      </c>
      <c r="P25" s="504">
        <f>SUMIF('Diags Raw Data'!$A$6:$A$3786,"*"&amp;$A25&amp;"*",'Diags Raw Data'!$Z$6:$Z$3786)</f>
        <v>0</v>
      </c>
      <c r="Q25" s="505">
        <f>SUM(SUMIF('Diags Raw Data'!$A$6:$A$3786,"*"&amp;$A25&amp;"*",'Diags Raw Data'!$AA$6:$AA$3786),SUMIF('Diags Raw Data'!$A$6:$A$3786,"*"&amp;$A25&amp;"*",'Diags Raw Data'!$AB$6:$AB$3786))</f>
        <v>0</v>
      </c>
      <c r="R25" s="506">
        <f t="shared" si="3"/>
        <v>0</v>
      </c>
      <c r="S25" s="506">
        <f t="shared" si="4"/>
        <v>0</v>
      </c>
      <c r="T25" s="507">
        <f t="shared" si="5"/>
        <v>0</v>
      </c>
      <c r="U25" s="453" t="s">
        <v>286</v>
      </c>
      <c r="V25" s="181"/>
    </row>
    <row r="26" spans="1:22" x14ac:dyDescent="0.25">
      <c r="A26" s="448" t="s">
        <v>424</v>
      </c>
      <c r="B26" s="449" t="str">
        <f>VLOOKUP(A26,'Feature Raw Data'!$A$3:$B$3986,2,FALSE)</f>
        <v>Feature name - EX-FEAT-020</v>
      </c>
      <c r="C26" s="450" t="str">
        <f>VLOOKUP(A26,'Feature Raw Data'!$A$3:$C$3986,3,FALSE)</f>
        <v>P2</v>
      </c>
      <c r="D26" s="451" t="str" cm="1">
        <f t="array" ref="D26">_xlfn.TEXTJOIN("",TRUE,IF(ISNUMBER(SEARCH($A26,'Diags Raw Data'!$A$6:$A$3786)),CONCATENATE('Diags Raw Data'!$H$6:$H$3786,", "),""))</f>
        <v xml:space="preserve">acpaz20.1-7, </v>
      </c>
      <c r="E26" s="342" t="str">
        <f>VLOOKUP(A26,'Diags Raw Data'!$A$6:$D$3786,4,FALSE)</f>
        <v>DSP Test</v>
      </c>
      <c r="F26" s="342" t="str">
        <f>VLOOKUP(A26,'Feature Raw Data'!$A$3:$E$3986,5,FALSE)</f>
        <v>Legacy</v>
      </c>
      <c r="G26" s="342" t="str">
        <f t="shared" si="0"/>
        <v>Yes</v>
      </c>
      <c r="H26" s="342" t="str">
        <f t="shared" si="1"/>
        <v>Yes</v>
      </c>
      <c r="I26" s="450">
        <f>SUMIF('Diags Raw Data'!$A$6:$A$3786,"*"&amp;$A26&amp;"*",'Diags Raw Data'!$K$6:$K$3786)</f>
        <v>1</v>
      </c>
      <c r="J26" s="452">
        <f>SUMIF('Diags Raw Data'!$A$6:$A$3786,"*"&amp;$A26&amp;"*",'Diags Raw Data'!$L$6:$L$3786)</f>
        <v>448</v>
      </c>
      <c r="K26" s="499" cm="1">
        <f t="array" ref="K26">IF(D26="",0, SUMPRODUCT(--(ISNUMBER(SEARCH($A26,'Diags Raw Data'!$A$6:$A$3786))),'Diags Raw Data'!$L$6:$L$3786,'Diags Raw Data'!$N$6:$N$3786)/J26)</f>
        <v>1</v>
      </c>
      <c r="L26" s="500" cm="1">
        <f t="array" ref="L26">IF(D26="",0, SUMPRODUCT(--(ISNUMBER(SEARCH($A26,'Diags Raw Data'!$A$6:$A$3786))),'Diags Raw Data'!$L$6:$L$3786,'Diags Raw Data'!$P$6:$P$3786)/J26)</f>
        <v>1</v>
      </c>
      <c r="M26" s="501" cm="1">
        <f t="array" ref="M26">SUMPRODUCT(--(ISNUMBER(SEARCH($A26,'Diags Raw Data'!$A$6:$A$3786))),--('Diags Raw Data'!$Q$6:$Q$3786&lt;&gt;"N/A"),'Diags Raw Data'!$R$6:$R$3786)</f>
        <v>448</v>
      </c>
      <c r="N26" s="502" cm="1">
        <f t="array" ref="N26">SUMPRODUCT(--(ISNUMBER(SEARCH($A26,'Diags Raw Data'!$A$6:$A$3786))),--('Diags Raw Data'!$Q$6:$Q$3786&lt;&gt;"N/A"),'Diags Raw Data'!$T$6:$T$3786)+SUMPRODUCT(--(ISNUMBER(SEARCH($A26,'Diags Raw Data'!$A$6:$A$3786))),--('Diags Raw Data'!$Q$6:$Q$3786&lt;&gt;"N/A"),'Diags Raw Data'!$U$6:$U$3786)</f>
        <v>448</v>
      </c>
      <c r="O26" s="503">
        <f t="shared" si="2"/>
        <v>1</v>
      </c>
      <c r="P26" s="504">
        <f>SUMIF('Diags Raw Data'!$A$6:$A$3786,"*"&amp;$A26&amp;"*",'Diags Raw Data'!$Z$6:$Z$3786)</f>
        <v>0</v>
      </c>
      <c r="Q26" s="505">
        <f>SUM(SUMIF('Diags Raw Data'!$A$6:$A$3786,"*"&amp;$A26&amp;"*",'Diags Raw Data'!$AA$6:$AA$3786),SUMIF('Diags Raw Data'!$A$6:$A$3786,"*"&amp;$A26&amp;"*",'Diags Raw Data'!$AB$6:$AB$3786))</f>
        <v>0</v>
      </c>
      <c r="R26" s="506">
        <f t="shared" si="3"/>
        <v>0</v>
      </c>
      <c r="S26" s="506">
        <f t="shared" si="4"/>
        <v>0</v>
      </c>
      <c r="T26" s="507">
        <f t="shared" si="5"/>
        <v>0</v>
      </c>
      <c r="U26" s="453" t="s">
        <v>286</v>
      </c>
      <c r="V26" s="181"/>
    </row>
    <row r="27" spans="1:22" x14ac:dyDescent="0.25">
      <c r="A27" s="448" t="s">
        <v>430</v>
      </c>
      <c r="B27" s="449" t="str">
        <f>VLOOKUP(A27,'Feature Raw Data'!$A$3:$B$3986,2,FALSE)</f>
        <v>Feature name - EX-FEAT-021</v>
      </c>
      <c r="C27" s="450" t="str">
        <f>VLOOKUP(A27,'Feature Raw Data'!$A$3:$C$3986,3,FALSE)</f>
        <v>P2</v>
      </c>
      <c r="D27" s="451" t="str" cm="1">
        <f t="array" ref="D27">_xlfn.TEXTJOIN("",TRUE,IF(ISNUMBER(SEARCH($A27,'Diags Raw Data'!$A$6:$A$3786)),CONCATENATE('Diags Raw Data'!$H$6:$H$3786,", "),""))</f>
        <v xml:space="preserve">acpaz20.1-7, </v>
      </c>
      <c r="E27" s="342" t="str">
        <f>VLOOKUP(A27,'Diags Raw Data'!$A$6:$D$3786,4,FALSE)</f>
        <v>DSP Test</v>
      </c>
      <c r="F27" s="342" t="str">
        <f>VLOOKUP(A27,'Feature Raw Data'!$A$3:$E$3986,5,FALSE)</f>
        <v>Legacy</v>
      </c>
      <c r="G27" s="342" t="str">
        <f t="shared" si="0"/>
        <v>Yes</v>
      </c>
      <c r="H27" s="342" t="str">
        <f t="shared" si="1"/>
        <v>Yes</v>
      </c>
      <c r="I27" s="450">
        <f>SUMIF('Diags Raw Data'!$A$6:$A$3786,"*"&amp;$A27&amp;"*",'Diags Raw Data'!$K$6:$K$3786)</f>
        <v>1</v>
      </c>
      <c r="J27" s="452">
        <f>SUMIF('Diags Raw Data'!$A$6:$A$3786,"*"&amp;$A27&amp;"*",'Diags Raw Data'!$L$6:$L$3786)</f>
        <v>2</v>
      </c>
      <c r="K27" s="499" cm="1">
        <f t="array" ref="K27">IF(D27="",0, SUMPRODUCT(--(ISNUMBER(SEARCH($A27,'Diags Raw Data'!$A$6:$A$3786))),'Diags Raw Data'!$L$6:$L$3786,'Diags Raw Data'!$N$6:$N$3786)/J27)</f>
        <v>1</v>
      </c>
      <c r="L27" s="500" cm="1">
        <f t="array" ref="L27">IF(D27="",0, SUMPRODUCT(--(ISNUMBER(SEARCH($A27,'Diags Raw Data'!$A$6:$A$3786))),'Diags Raw Data'!$L$6:$L$3786,'Diags Raw Data'!$P$6:$P$3786)/J27)</f>
        <v>1</v>
      </c>
      <c r="M27" s="501" cm="1">
        <f t="array" ref="M27">SUMPRODUCT(--(ISNUMBER(SEARCH($A27,'Diags Raw Data'!$A$6:$A$3786))),--('Diags Raw Data'!$Q$6:$Q$3786&lt;&gt;"N/A"),'Diags Raw Data'!$R$6:$R$3786)</f>
        <v>2</v>
      </c>
      <c r="N27" s="502" cm="1">
        <f t="array" ref="N27">SUMPRODUCT(--(ISNUMBER(SEARCH($A27,'Diags Raw Data'!$A$6:$A$3786))),--('Diags Raw Data'!$Q$6:$Q$3786&lt;&gt;"N/A"),'Diags Raw Data'!$T$6:$T$3786)+SUMPRODUCT(--(ISNUMBER(SEARCH($A27,'Diags Raw Data'!$A$6:$A$3786))),--('Diags Raw Data'!$Q$6:$Q$3786&lt;&gt;"N/A"),'Diags Raw Data'!$U$6:$U$3786)</f>
        <v>2</v>
      </c>
      <c r="O27" s="503">
        <f t="shared" si="2"/>
        <v>1</v>
      </c>
      <c r="P27" s="504">
        <f>SUMIF('Diags Raw Data'!$A$6:$A$3786,"*"&amp;$A27&amp;"*",'Diags Raw Data'!$Z$6:$Z$3786)</f>
        <v>0</v>
      </c>
      <c r="Q27" s="505">
        <f>SUM(SUMIF('Diags Raw Data'!$A$6:$A$3786,"*"&amp;$A27&amp;"*",'Diags Raw Data'!$AA$6:$AA$3786),SUMIF('Diags Raw Data'!$A$6:$A$3786,"*"&amp;$A27&amp;"*",'Diags Raw Data'!$AB$6:$AB$3786))</f>
        <v>0</v>
      </c>
      <c r="R27" s="506">
        <f t="shared" si="3"/>
        <v>0</v>
      </c>
      <c r="S27" s="506">
        <f t="shared" si="4"/>
        <v>0</v>
      </c>
      <c r="T27" s="507">
        <f t="shared" si="5"/>
        <v>0</v>
      </c>
      <c r="U27" s="453" t="s">
        <v>1111</v>
      </c>
      <c r="V27" s="181"/>
    </row>
    <row r="28" spans="1:22" x14ac:dyDescent="0.25">
      <c r="A28" s="448" t="s">
        <v>433</v>
      </c>
      <c r="B28" s="449" t="str">
        <f>VLOOKUP(A28,'Feature Raw Data'!$A$3:$B$3986,2,FALSE)</f>
        <v>Feature name - EX-FEAT-022</v>
      </c>
      <c r="C28" s="450" t="str">
        <f>VLOOKUP(A28,'Feature Raw Data'!$A$3:$C$3986,3,FALSE)</f>
        <v>P2</v>
      </c>
      <c r="D28" s="451" t="str" cm="1">
        <f t="array" ref="D28">_xlfn.TEXTJOIN("",TRUE,IF(ISNUMBER(SEARCH($A28,'Diags Raw Data'!$A$6:$A$3786)),CONCATENATE('Diags Raw Data'!$H$6:$H$3786,", "),""))</f>
        <v xml:space="preserve">acpaz41.1-3, </v>
      </c>
      <c r="E28" s="342" t="str">
        <f>VLOOKUP(A28,'Diags Raw Data'!$A$6:$D$3786,4,FALSE)</f>
        <v>Interrupt Test</v>
      </c>
      <c r="F28" s="342" t="str">
        <f>VLOOKUP(A28,'Feature Raw Data'!$A$3:$E$3986,5,FALSE)</f>
        <v>Legacy</v>
      </c>
      <c r="G28" s="342" t="str">
        <f t="shared" si="0"/>
        <v>Yes</v>
      </c>
      <c r="H28" s="342" t="str">
        <f t="shared" si="1"/>
        <v>Yes</v>
      </c>
      <c r="I28" s="450">
        <f>SUMIF('Diags Raw Data'!$A$6:$A$3786,"*"&amp;$A28&amp;"*",'Diags Raw Data'!$K$6:$K$3786)</f>
        <v>1</v>
      </c>
      <c r="J28" s="452">
        <f>SUMIF('Diags Raw Data'!$A$6:$A$3786,"*"&amp;$A28&amp;"*",'Diags Raw Data'!$L$6:$L$3786)</f>
        <v>3</v>
      </c>
      <c r="K28" s="499" cm="1">
        <f t="array" ref="K28">IF(D28="",0, SUMPRODUCT(--(ISNUMBER(SEARCH($A28,'Diags Raw Data'!$A$6:$A$3786))),'Diags Raw Data'!$L$6:$L$3786,'Diags Raw Data'!$N$6:$N$3786)/J28)</f>
        <v>1</v>
      </c>
      <c r="L28" s="500" cm="1">
        <f t="array" ref="L28">IF(D28="",0, SUMPRODUCT(--(ISNUMBER(SEARCH($A28,'Diags Raw Data'!$A$6:$A$3786))),'Diags Raw Data'!$L$6:$L$3786,'Diags Raw Data'!$P$6:$P$3786)/J28)</f>
        <v>1</v>
      </c>
      <c r="M28" s="501" cm="1">
        <f t="array" ref="M28">SUMPRODUCT(--(ISNUMBER(SEARCH($A28,'Diags Raw Data'!$A$6:$A$3786))),--('Diags Raw Data'!$Q$6:$Q$3786&lt;&gt;"N/A"),'Diags Raw Data'!$R$6:$R$3786)</f>
        <v>3</v>
      </c>
      <c r="N28" s="502" cm="1">
        <f t="array" ref="N28">SUMPRODUCT(--(ISNUMBER(SEARCH($A28,'Diags Raw Data'!$A$6:$A$3786))),--('Diags Raw Data'!$Q$6:$Q$3786&lt;&gt;"N/A"),'Diags Raw Data'!$T$6:$T$3786)+SUMPRODUCT(--(ISNUMBER(SEARCH($A28,'Diags Raw Data'!$A$6:$A$3786))),--('Diags Raw Data'!$Q$6:$Q$3786&lt;&gt;"N/A"),'Diags Raw Data'!$U$6:$U$3786)</f>
        <v>3</v>
      </c>
      <c r="O28" s="503">
        <f t="shared" si="2"/>
        <v>1</v>
      </c>
      <c r="P28" s="504">
        <f>SUMIF('Diags Raw Data'!$A$6:$A$3786,"*"&amp;$A28&amp;"*",'Diags Raw Data'!$Z$6:$Z$3786)</f>
        <v>0</v>
      </c>
      <c r="Q28" s="505">
        <f>SUM(SUMIF('Diags Raw Data'!$A$6:$A$3786,"*"&amp;$A28&amp;"*",'Diags Raw Data'!$AA$6:$AA$3786),SUMIF('Diags Raw Data'!$A$6:$A$3786,"*"&amp;$A28&amp;"*",'Diags Raw Data'!$AB$6:$AB$3786))</f>
        <v>0</v>
      </c>
      <c r="R28" s="506">
        <f t="shared" si="3"/>
        <v>0</v>
      </c>
      <c r="S28" s="506">
        <f t="shared" si="4"/>
        <v>0</v>
      </c>
      <c r="T28" s="507">
        <f t="shared" si="5"/>
        <v>0</v>
      </c>
      <c r="U28" s="453" t="s">
        <v>1110</v>
      </c>
      <c r="V28" s="181"/>
    </row>
    <row r="29" spans="1:22" x14ac:dyDescent="0.25">
      <c r="A29" s="448" t="s">
        <v>439</v>
      </c>
      <c r="B29" s="449" t="str">
        <f>VLOOKUP(A29,'Feature Raw Data'!$A$3:$B$3986,2,FALSE)</f>
        <v>Feature name - EX-FEAT-023</v>
      </c>
      <c r="C29" s="450" t="str">
        <f>VLOOKUP(A29,'Feature Raw Data'!$A$3:$C$3986,3,FALSE)</f>
        <v>P2</v>
      </c>
      <c r="D29" s="451" t="str" cm="1">
        <f t="array" ref="D29">_xlfn.TEXTJOIN("",TRUE,IF(ISNUMBER(SEARCH($A29,'Diags Raw Data'!$A$6:$A$3786)),CONCATENATE('Diags Raw Data'!$H$6:$H$3786,", "),""))</f>
        <v xml:space="preserve">acpaz42, </v>
      </c>
      <c r="E29" s="342" t="str">
        <f>VLOOKUP(A29,'Diags Raw Data'!$A$6:$D$3786,4,FALSE)</f>
        <v>Interrupt Test</v>
      </c>
      <c r="F29" s="342" t="str">
        <f>VLOOKUP(A29,'Feature Raw Data'!$A$3:$E$3986,5,FALSE)</f>
        <v>Legacy</v>
      </c>
      <c r="G29" s="342" t="str">
        <f t="shared" si="0"/>
        <v>Yes</v>
      </c>
      <c r="H29" s="342" t="str">
        <f t="shared" si="1"/>
        <v>Yes</v>
      </c>
      <c r="I29" s="450">
        <f>SUMIF('Diags Raw Data'!$A$6:$A$3786,"*"&amp;$A29&amp;"*",'Diags Raw Data'!$K$6:$K$3786)</f>
        <v>1</v>
      </c>
      <c r="J29" s="452">
        <f>SUMIF('Diags Raw Data'!$A$6:$A$3786,"*"&amp;$A29&amp;"*",'Diags Raw Data'!$L$6:$L$3786)</f>
        <v>2</v>
      </c>
      <c r="K29" s="499" cm="1">
        <f t="array" ref="K29">IF(D29="",0, SUMPRODUCT(--(ISNUMBER(SEARCH($A29,'Diags Raw Data'!$A$6:$A$3786))),'Diags Raw Data'!$L$6:$L$3786,'Diags Raw Data'!$N$6:$N$3786)/J29)</f>
        <v>1</v>
      </c>
      <c r="L29" s="500" cm="1">
        <f t="array" ref="L29">IF(D29="",0, SUMPRODUCT(--(ISNUMBER(SEARCH($A29,'Diags Raw Data'!$A$6:$A$3786))),'Diags Raw Data'!$L$6:$L$3786,'Diags Raw Data'!$P$6:$P$3786)/J29)</f>
        <v>1</v>
      </c>
      <c r="M29" s="501" cm="1">
        <f t="array" ref="M29">SUMPRODUCT(--(ISNUMBER(SEARCH($A29,'Diags Raw Data'!$A$6:$A$3786))),--('Diags Raw Data'!$Q$6:$Q$3786&lt;&gt;"N/A"),'Diags Raw Data'!$R$6:$R$3786)</f>
        <v>2</v>
      </c>
      <c r="N29" s="502" cm="1">
        <f t="array" ref="N29">SUMPRODUCT(--(ISNUMBER(SEARCH($A29,'Diags Raw Data'!$A$6:$A$3786))),--('Diags Raw Data'!$Q$6:$Q$3786&lt;&gt;"N/A"),'Diags Raw Data'!$T$6:$T$3786)+SUMPRODUCT(--(ISNUMBER(SEARCH($A29,'Diags Raw Data'!$A$6:$A$3786))),--('Diags Raw Data'!$Q$6:$Q$3786&lt;&gt;"N/A"),'Diags Raw Data'!$U$6:$U$3786)</f>
        <v>2</v>
      </c>
      <c r="O29" s="503">
        <f t="shared" si="2"/>
        <v>1</v>
      </c>
      <c r="P29" s="504">
        <f>SUMIF('Diags Raw Data'!$A$6:$A$3786,"*"&amp;$A29&amp;"*",'Diags Raw Data'!$Z$6:$Z$3786)</f>
        <v>0</v>
      </c>
      <c r="Q29" s="505">
        <f>SUM(SUMIF('Diags Raw Data'!$A$6:$A$3786,"*"&amp;$A29&amp;"*",'Diags Raw Data'!$AA$6:$AA$3786),SUMIF('Diags Raw Data'!$A$6:$A$3786,"*"&amp;$A29&amp;"*",'Diags Raw Data'!$AB$6:$AB$3786))</f>
        <v>0</v>
      </c>
      <c r="R29" s="506">
        <f t="shared" si="3"/>
        <v>0</v>
      </c>
      <c r="S29" s="506">
        <f t="shared" si="4"/>
        <v>0</v>
      </c>
      <c r="T29" s="507">
        <f t="shared" si="5"/>
        <v>0</v>
      </c>
      <c r="U29" s="453" t="s">
        <v>1110</v>
      </c>
      <c r="V29" s="181"/>
    </row>
    <row r="30" spans="1:22" x14ac:dyDescent="0.25">
      <c r="A30" s="448" t="s">
        <v>444</v>
      </c>
      <c r="B30" s="449" t="str">
        <f>VLOOKUP(A30,'Feature Raw Data'!$A$3:$B$3986,2,FALSE)</f>
        <v>Feature name - EX-FEAT-024</v>
      </c>
      <c r="C30" s="450" t="str">
        <f>VLOOKUP(A30,'Feature Raw Data'!$A$3:$C$3986,3,FALSE)</f>
        <v>P2</v>
      </c>
      <c r="D30" s="451" t="str" cm="1">
        <f t="array" ref="D30">_xlfn.TEXTJOIN("",TRUE,IF(ISNUMBER(SEARCH($A30,'Diags Raw Data'!$A$6:$A$3786)),CONCATENATE('Diags Raw Data'!$H$6:$H$3786,", "),""))</f>
        <v xml:space="preserve">acpaz43.1-3, </v>
      </c>
      <c r="E30" s="342" t="str">
        <f>VLOOKUP(A30,'Diags Raw Data'!$A$6:$D$3786,4,FALSE)</f>
        <v>Interrupt Test</v>
      </c>
      <c r="F30" s="342" t="str">
        <f>VLOOKUP(A30,'Feature Raw Data'!$A$3:$E$3986,5,FALSE)</f>
        <v>Legacy</v>
      </c>
      <c r="G30" s="342" t="str">
        <f t="shared" si="0"/>
        <v>Yes</v>
      </c>
      <c r="H30" s="342" t="str">
        <f t="shared" si="1"/>
        <v>Yes</v>
      </c>
      <c r="I30" s="450">
        <f>SUMIF('Diags Raw Data'!$A$6:$A$3786,"*"&amp;$A30&amp;"*",'Diags Raw Data'!$K$6:$K$3786)</f>
        <v>1</v>
      </c>
      <c r="J30" s="452">
        <f>SUMIF('Diags Raw Data'!$A$6:$A$3786,"*"&amp;$A30&amp;"*",'Diags Raw Data'!$L$6:$L$3786)</f>
        <v>3</v>
      </c>
      <c r="K30" s="499" cm="1">
        <f t="array" ref="K30">IF(D30="",0, SUMPRODUCT(--(ISNUMBER(SEARCH($A30,'Diags Raw Data'!$A$6:$A$3786))),'Diags Raw Data'!$L$6:$L$3786,'Diags Raw Data'!$N$6:$N$3786)/J30)</f>
        <v>1</v>
      </c>
      <c r="L30" s="500" cm="1">
        <f t="array" ref="L30">IF(D30="",0, SUMPRODUCT(--(ISNUMBER(SEARCH($A30,'Diags Raw Data'!$A$6:$A$3786))),'Diags Raw Data'!$L$6:$L$3786,'Diags Raw Data'!$P$6:$P$3786)/J30)</f>
        <v>1</v>
      </c>
      <c r="M30" s="501" cm="1">
        <f t="array" ref="M30">SUMPRODUCT(--(ISNUMBER(SEARCH($A30,'Diags Raw Data'!$A$6:$A$3786))),--('Diags Raw Data'!$Q$6:$Q$3786&lt;&gt;"N/A"),'Diags Raw Data'!$R$6:$R$3786)</f>
        <v>3</v>
      </c>
      <c r="N30" s="502" cm="1">
        <f t="array" ref="N30">SUMPRODUCT(--(ISNUMBER(SEARCH($A30,'Diags Raw Data'!$A$6:$A$3786))),--('Diags Raw Data'!$Q$6:$Q$3786&lt;&gt;"N/A"),'Diags Raw Data'!$T$6:$T$3786)+SUMPRODUCT(--(ISNUMBER(SEARCH($A30,'Diags Raw Data'!$A$6:$A$3786))),--('Diags Raw Data'!$Q$6:$Q$3786&lt;&gt;"N/A"),'Diags Raw Data'!$U$6:$U$3786)</f>
        <v>3</v>
      </c>
      <c r="O30" s="503">
        <f>IF((M30=0),0,N30/M30)</f>
        <v>1</v>
      </c>
      <c r="P30" s="504">
        <f>SUMIF('Diags Raw Data'!$A$6:$A$3786,"*"&amp;$A30&amp;"*",'Diags Raw Data'!$Z$6:$Z$3786)</f>
        <v>0</v>
      </c>
      <c r="Q30" s="505">
        <f>SUM(SUMIF('Diags Raw Data'!$A$6:$A$3786,"*"&amp;$A30&amp;"*",'Diags Raw Data'!$AA$6:$AA$3786),SUMIF('Diags Raw Data'!$A$6:$A$3786,"*"&amp;$A30&amp;"*",'Diags Raw Data'!$AB$6:$AB$3786))</f>
        <v>0</v>
      </c>
      <c r="R30" s="506">
        <f>IF((J30=0),0,P30/J30)</f>
        <v>0</v>
      </c>
      <c r="S30" s="506">
        <f>IF((P30=0),0,Q30/P30)</f>
        <v>0</v>
      </c>
      <c r="T30" s="507">
        <f>R30*S30</f>
        <v>0</v>
      </c>
      <c r="U30" s="453" t="s">
        <v>1110</v>
      </c>
      <c r="V30" s="181"/>
    </row>
    <row r="31" spans="1:22" x14ac:dyDescent="0.25">
      <c r="A31" s="448" t="s">
        <v>449</v>
      </c>
      <c r="B31" s="449" t="str">
        <f>VLOOKUP(A31,'Feature Raw Data'!$A$3:$B$3986,2,FALSE)</f>
        <v>Feature name - EX-FEAT-025</v>
      </c>
      <c r="C31" s="450" t="str">
        <f>VLOOKUP(A31,'Feature Raw Data'!$A$3:$C$3986,3,FALSE)</f>
        <v>P2</v>
      </c>
      <c r="D31" s="451" t="str" cm="1">
        <f t="array" ref="D31">_xlfn.TEXTJOIN("",TRUE,IF(ISNUMBER(SEARCH($A31,'Diags Raw Data'!$A$6:$A$3786)),CONCATENATE('Diags Raw Data'!$H$6:$H$3786,", "),""))</f>
        <v xml:space="preserve">acpaz25.1-14, </v>
      </c>
      <c r="E31" s="342" t="str">
        <f>VLOOKUP(A31,'Diags Raw Data'!$A$6:$D$3786,4,FALSE)</f>
        <v>Interrupt Test</v>
      </c>
      <c r="F31" s="342" t="str">
        <f>VLOOKUP(A31,'Feature Raw Data'!$A$3:$E$3986,5,FALSE)</f>
        <v>Legacy</v>
      </c>
      <c r="G31" s="342" t="str">
        <f t="shared" si="0"/>
        <v>Yes</v>
      </c>
      <c r="H31" s="342" t="str">
        <f t="shared" si="1"/>
        <v>Yes</v>
      </c>
      <c r="I31" s="450">
        <f>SUMIF('Diags Raw Data'!$A$6:$A$3786,"*"&amp;$A31&amp;"*",'Diags Raw Data'!$K$6:$K$3786)</f>
        <v>1</v>
      </c>
      <c r="J31" s="452">
        <f>SUMIF('Diags Raw Data'!$A$6:$A$3786,"*"&amp;$A31&amp;"*",'Diags Raw Data'!$L$6:$L$3786)</f>
        <v>28</v>
      </c>
      <c r="K31" s="499" cm="1">
        <f t="array" ref="K31">IF(D31="",0, SUMPRODUCT(--(ISNUMBER(SEARCH($A31,'Diags Raw Data'!$A$6:$A$3786))),'Diags Raw Data'!$L$6:$L$3786,'Diags Raw Data'!$N$6:$N$3786)/J31)</f>
        <v>1</v>
      </c>
      <c r="L31" s="500" cm="1">
        <f t="array" ref="L31">IF(D31="",0, SUMPRODUCT(--(ISNUMBER(SEARCH($A31,'Diags Raw Data'!$A$6:$A$3786))),'Diags Raw Data'!$L$6:$L$3786,'Diags Raw Data'!$P$6:$P$3786)/J31)</f>
        <v>1</v>
      </c>
      <c r="M31" s="501" cm="1">
        <f t="array" ref="M31">SUMPRODUCT(--(ISNUMBER(SEARCH($A31,'Diags Raw Data'!$A$6:$A$3786))),--('Diags Raw Data'!$Q$6:$Q$3786&lt;&gt;"N/A"),'Diags Raw Data'!$R$6:$R$3786)</f>
        <v>28</v>
      </c>
      <c r="N31" s="502" cm="1">
        <f t="array" ref="N31">SUMPRODUCT(--(ISNUMBER(SEARCH($A31,'Diags Raw Data'!$A$6:$A$3786))),--('Diags Raw Data'!$Q$6:$Q$3786&lt;&gt;"N/A"),'Diags Raw Data'!$T$6:$T$3786)+SUMPRODUCT(--(ISNUMBER(SEARCH($A31,'Diags Raw Data'!$A$6:$A$3786))),--('Diags Raw Data'!$Q$6:$Q$3786&lt;&gt;"N/A"),'Diags Raw Data'!$U$6:$U$3786)</f>
        <v>28</v>
      </c>
      <c r="O31" s="503">
        <f t="shared" si="2"/>
        <v>1</v>
      </c>
      <c r="P31" s="504">
        <f>SUMIF('Diags Raw Data'!$A$6:$A$3786,"*"&amp;$A31&amp;"*",'Diags Raw Data'!$Z$6:$Z$3786)</f>
        <v>0</v>
      </c>
      <c r="Q31" s="505">
        <f>SUM(SUMIF('Diags Raw Data'!$A$6:$A$3786,"*"&amp;$A31&amp;"*",'Diags Raw Data'!$AA$6:$AA$3786),SUMIF('Diags Raw Data'!$A$6:$A$3786,"*"&amp;$A31&amp;"*",'Diags Raw Data'!$AB$6:$AB$3786))</f>
        <v>0</v>
      </c>
      <c r="R31" s="506">
        <f t="shared" si="3"/>
        <v>0</v>
      </c>
      <c r="S31" s="506">
        <f t="shared" si="4"/>
        <v>0</v>
      </c>
      <c r="T31" s="507">
        <f t="shared" si="5"/>
        <v>0</v>
      </c>
      <c r="U31" s="453" t="s">
        <v>1112</v>
      </c>
      <c r="V31" s="181"/>
    </row>
    <row r="32" spans="1:22" x14ac:dyDescent="0.25">
      <c r="A32" s="448" t="s">
        <v>455</v>
      </c>
      <c r="B32" s="449" t="str">
        <f>VLOOKUP(A32,'Feature Raw Data'!$A$3:$B$3986,2,FALSE)</f>
        <v>Feature name - EX-FEAT-026</v>
      </c>
      <c r="C32" s="450" t="str">
        <f>VLOOKUP(A32,'Feature Raw Data'!$A$3:$C$3986,3,FALSE)</f>
        <v>P2</v>
      </c>
      <c r="D32" s="451" t="str" cm="1">
        <f t="array" ref="D32">_xlfn.TEXTJOIN("",TRUE,IF(ISNUMBER(SEARCH($A32,'Diags Raw Data'!$A$6:$A$3786)),CONCATENATE('Diags Raw Data'!$H$6:$H$3786,", "),""))</f>
        <v xml:space="preserve">acpaz94.1-4, </v>
      </c>
      <c r="E32" s="342" t="str">
        <f>VLOOKUP(A32,'Diags Raw Data'!$A$6:$D$3786,4,FALSE)</f>
        <v>Interrupt Test</v>
      </c>
      <c r="F32" s="342" t="str">
        <f>VLOOKUP(A32,'Feature Raw Data'!$A$3:$E$3986,5,FALSE)</f>
        <v>Legacy</v>
      </c>
      <c r="G32" s="342" t="str">
        <f t="shared" si="0"/>
        <v>Yes</v>
      </c>
      <c r="H32" s="342" t="str">
        <f t="shared" si="1"/>
        <v>Yes</v>
      </c>
      <c r="I32" s="450">
        <f>SUMIF('Diags Raw Data'!$A$6:$A$3786,"*"&amp;$A32&amp;"*",'Diags Raw Data'!$K$6:$K$3786)</f>
        <v>1</v>
      </c>
      <c r="J32" s="452">
        <f>SUMIF('Diags Raw Data'!$A$6:$A$3786,"*"&amp;$A32&amp;"*",'Diags Raw Data'!$L$6:$L$3786)</f>
        <v>8</v>
      </c>
      <c r="K32" s="499" cm="1">
        <f t="array" ref="K32">IF(D32="",0, SUMPRODUCT(--(ISNUMBER(SEARCH($A32,'Diags Raw Data'!$A$6:$A$3786))),'Diags Raw Data'!$L$6:$L$3786,'Diags Raw Data'!$N$6:$N$3786)/J32)</f>
        <v>1</v>
      </c>
      <c r="L32" s="500" cm="1">
        <f t="array" ref="L32">IF(D32="",0, SUMPRODUCT(--(ISNUMBER(SEARCH($A32,'Diags Raw Data'!$A$6:$A$3786))),'Diags Raw Data'!$L$6:$L$3786,'Diags Raw Data'!$P$6:$P$3786)/J32)</f>
        <v>1</v>
      </c>
      <c r="M32" s="501" cm="1">
        <f t="array" ref="M32">SUMPRODUCT(--(ISNUMBER(SEARCH($A32,'Diags Raw Data'!$A$6:$A$3786))),--('Diags Raw Data'!$Q$6:$Q$3786&lt;&gt;"N/A"),'Diags Raw Data'!$R$6:$R$3786)</f>
        <v>8</v>
      </c>
      <c r="N32" s="502" cm="1">
        <f t="array" ref="N32">SUMPRODUCT(--(ISNUMBER(SEARCH($A32,'Diags Raw Data'!$A$6:$A$3786))),--('Diags Raw Data'!$Q$6:$Q$3786&lt;&gt;"N/A"),'Diags Raw Data'!$T$6:$T$3786)+SUMPRODUCT(--(ISNUMBER(SEARCH($A32,'Diags Raw Data'!$A$6:$A$3786))),--('Diags Raw Data'!$Q$6:$Q$3786&lt;&gt;"N/A"),'Diags Raw Data'!$U$6:$U$3786)</f>
        <v>8</v>
      </c>
      <c r="O32" s="503">
        <f t="shared" si="2"/>
        <v>1</v>
      </c>
      <c r="P32" s="504">
        <f>SUMIF('Diags Raw Data'!$A$6:$A$3786,"*"&amp;$A32&amp;"*",'Diags Raw Data'!$Z$6:$Z$3786)</f>
        <v>0</v>
      </c>
      <c r="Q32" s="505">
        <f>SUM(SUMIF('Diags Raw Data'!$A$6:$A$3786,"*"&amp;$A32&amp;"*",'Diags Raw Data'!$AA$6:$AA$3786),SUMIF('Diags Raw Data'!$A$6:$A$3786,"*"&amp;$A32&amp;"*",'Diags Raw Data'!$AB$6:$AB$3786))</f>
        <v>0</v>
      </c>
      <c r="R32" s="506">
        <f t="shared" si="3"/>
        <v>0</v>
      </c>
      <c r="S32" s="506">
        <f t="shared" si="4"/>
        <v>0</v>
      </c>
      <c r="T32" s="507">
        <f t="shared" si="5"/>
        <v>0</v>
      </c>
      <c r="U32" s="453" t="s">
        <v>47</v>
      </c>
      <c r="V32" s="181"/>
    </row>
    <row r="33" spans="1:22" x14ac:dyDescent="0.25">
      <c r="A33" s="448" t="s">
        <v>460</v>
      </c>
      <c r="B33" s="449" t="str">
        <f>VLOOKUP(A33,'Feature Raw Data'!$A$3:$B$3986,2,FALSE)</f>
        <v>Feature name - EX-FEAT-027</v>
      </c>
      <c r="C33" s="450" t="str">
        <f>VLOOKUP(A33,'Feature Raw Data'!$A$3:$C$3986,3,FALSE)</f>
        <v>P2</v>
      </c>
      <c r="D33" s="451" t="str" cm="1">
        <f t="array" ref="D33">_xlfn.TEXTJOIN("",TRUE,IF(ISNUMBER(SEARCH($A33,'Diags Raw Data'!$A$6:$A$3786)),CONCATENATE('Diags Raw Data'!$H$6:$H$3786,", "),""))</f>
        <v xml:space="preserve">acpaz94.1-4, </v>
      </c>
      <c r="E33" s="342" t="str">
        <f>VLOOKUP(A33,'Diags Raw Data'!$A$6:$D$3786,4,FALSE)</f>
        <v>Interrupt Test</v>
      </c>
      <c r="F33" s="342" t="str">
        <f>VLOOKUP(A33,'Feature Raw Data'!$A$3:$E$3986,5,FALSE)</f>
        <v>Legacy</v>
      </c>
      <c r="G33" s="342" t="str">
        <f t="shared" si="0"/>
        <v>Yes</v>
      </c>
      <c r="H33" s="342" t="str">
        <f t="shared" si="1"/>
        <v>Yes</v>
      </c>
      <c r="I33" s="450">
        <f>SUMIF('Diags Raw Data'!$A$6:$A$3786,"*"&amp;$A33&amp;"*",'Diags Raw Data'!$K$6:$K$3786)</f>
        <v>1</v>
      </c>
      <c r="J33" s="452">
        <f>SUMIF('Diags Raw Data'!$A$6:$A$3786,"*"&amp;$A33&amp;"*",'Diags Raw Data'!$L$6:$L$3786)</f>
        <v>8</v>
      </c>
      <c r="K33" s="499" cm="1">
        <f t="array" ref="K33">IF(D33="",0, SUMPRODUCT(--(ISNUMBER(SEARCH($A33,'Diags Raw Data'!$A$6:$A$3786))),'Diags Raw Data'!$L$6:$L$3786,'Diags Raw Data'!$N$6:$N$3786)/J33)</f>
        <v>1</v>
      </c>
      <c r="L33" s="500" cm="1">
        <f t="array" ref="L33">IF(D33="",0, SUMPRODUCT(--(ISNUMBER(SEARCH($A33,'Diags Raw Data'!$A$6:$A$3786))),'Diags Raw Data'!$L$6:$L$3786,'Diags Raw Data'!$P$6:$P$3786)/J33)</f>
        <v>1</v>
      </c>
      <c r="M33" s="501" cm="1">
        <f t="array" ref="M33">SUMPRODUCT(--(ISNUMBER(SEARCH($A33,'Diags Raw Data'!$A$6:$A$3786))),--('Diags Raw Data'!$Q$6:$Q$3786&lt;&gt;"N/A"),'Diags Raw Data'!$R$6:$R$3786)</f>
        <v>8</v>
      </c>
      <c r="N33" s="502" cm="1">
        <f t="array" ref="N33">SUMPRODUCT(--(ISNUMBER(SEARCH($A33,'Diags Raw Data'!$A$6:$A$3786))),--('Diags Raw Data'!$Q$6:$Q$3786&lt;&gt;"N/A"),'Diags Raw Data'!$T$6:$T$3786)+SUMPRODUCT(--(ISNUMBER(SEARCH($A33,'Diags Raw Data'!$A$6:$A$3786))),--('Diags Raw Data'!$Q$6:$Q$3786&lt;&gt;"N/A"),'Diags Raw Data'!$U$6:$U$3786)</f>
        <v>8</v>
      </c>
      <c r="O33" s="503">
        <f t="shared" si="2"/>
        <v>1</v>
      </c>
      <c r="P33" s="504">
        <f>SUMIF('Diags Raw Data'!$A$6:$A$3786,"*"&amp;$A33&amp;"*",'Diags Raw Data'!$Z$6:$Z$3786)</f>
        <v>0</v>
      </c>
      <c r="Q33" s="505">
        <f>SUM(SUMIF('Diags Raw Data'!$A$6:$A$3786,"*"&amp;$A33&amp;"*",'Diags Raw Data'!$AA$6:$AA$3786),SUMIF('Diags Raw Data'!$A$6:$A$3786,"*"&amp;$A33&amp;"*",'Diags Raw Data'!$AB$6:$AB$3786))</f>
        <v>0</v>
      </c>
      <c r="R33" s="506">
        <f t="shared" si="3"/>
        <v>0</v>
      </c>
      <c r="S33" s="506">
        <f t="shared" si="4"/>
        <v>0</v>
      </c>
      <c r="T33" s="507">
        <f t="shared" si="5"/>
        <v>0</v>
      </c>
      <c r="U33" s="453" t="s">
        <v>1111</v>
      </c>
      <c r="V33" s="181"/>
    </row>
    <row r="34" spans="1:22" x14ac:dyDescent="0.25">
      <c r="A34" s="448" t="s">
        <v>463</v>
      </c>
      <c r="B34" s="449" t="str">
        <f>VLOOKUP(A34,'Feature Raw Data'!$A$3:$B$3986,2,FALSE)</f>
        <v>Feature name - EX-FEAT-028</v>
      </c>
      <c r="C34" s="450" t="str">
        <f>VLOOKUP(A34,'Feature Raw Data'!$A$3:$C$3986,3,FALSE)</f>
        <v>P2</v>
      </c>
      <c r="D34" s="451" t="str" cm="1">
        <f t="array" ref="D34">_xlfn.TEXTJOIN("",TRUE,IF(ISNUMBER(SEARCH($A34,'Diags Raw Data'!$A$6:$A$3786)),CONCATENATE('Diags Raw Data'!$H$6:$H$3786,", "),""))</f>
        <v xml:space="preserve">acpaz30.1-5, </v>
      </c>
      <c r="E34" s="342" t="str">
        <f>VLOOKUP(A34,'Diags Raw Data'!$A$6:$D$3786,4,FALSE)</f>
        <v>Interrupt Test</v>
      </c>
      <c r="F34" s="342" t="str">
        <f>VLOOKUP(A34,'Feature Raw Data'!$A$3:$E$3986,5,FALSE)</f>
        <v>Legacy</v>
      </c>
      <c r="G34" s="342" t="str">
        <f t="shared" si="0"/>
        <v>Yes</v>
      </c>
      <c r="H34" s="342" t="str">
        <f t="shared" si="1"/>
        <v>Yes</v>
      </c>
      <c r="I34" s="450">
        <f>SUMIF('Diags Raw Data'!$A$6:$A$3786,"*"&amp;$A34&amp;"*",'Diags Raw Data'!$K$6:$K$3786)</f>
        <v>1</v>
      </c>
      <c r="J34" s="452">
        <f>SUMIF('Diags Raw Data'!$A$6:$A$3786,"*"&amp;$A34&amp;"*",'Diags Raw Data'!$L$6:$L$3786)</f>
        <v>10</v>
      </c>
      <c r="K34" s="499" cm="1">
        <f t="array" ref="K34">IF(D34="",0, SUMPRODUCT(--(ISNUMBER(SEARCH($A34,'Diags Raw Data'!$A$6:$A$3786))),'Diags Raw Data'!$L$6:$L$3786,'Diags Raw Data'!$N$6:$N$3786)/J34)</f>
        <v>1</v>
      </c>
      <c r="L34" s="500" cm="1">
        <f t="array" ref="L34">IF(D34="",0, SUMPRODUCT(--(ISNUMBER(SEARCH($A34,'Diags Raw Data'!$A$6:$A$3786))),'Diags Raw Data'!$L$6:$L$3786,'Diags Raw Data'!$P$6:$P$3786)/J34)</f>
        <v>1</v>
      </c>
      <c r="M34" s="501" cm="1">
        <f t="array" ref="M34">SUMPRODUCT(--(ISNUMBER(SEARCH($A34,'Diags Raw Data'!$A$6:$A$3786))),--('Diags Raw Data'!$Q$6:$Q$3786&lt;&gt;"N/A"),'Diags Raw Data'!$R$6:$R$3786)</f>
        <v>10</v>
      </c>
      <c r="N34" s="502" cm="1">
        <f t="array" ref="N34">SUMPRODUCT(--(ISNUMBER(SEARCH($A34,'Diags Raw Data'!$A$6:$A$3786))),--('Diags Raw Data'!$Q$6:$Q$3786&lt;&gt;"N/A"),'Diags Raw Data'!$T$6:$T$3786)+SUMPRODUCT(--(ISNUMBER(SEARCH($A34,'Diags Raw Data'!$A$6:$A$3786))),--('Diags Raw Data'!$Q$6:$Q$3786&lt;&gt;"N/A"),'Diags Raw Data'!$U$6:$U$3786)</f>
        <v>10</v>
      </c>
      <c r="O34" s="503">
        <f t="shared" si="2"/>
        <v>1</v>
      </c>
      <c r="P34" s="504">
        <f>SUMIF('Diags Raw Data'!$A$6:$A$3786,"*"&amp;$A34&amp;"*",'Diags Raw Data'!$Z$6:$Z$3786)</f>
        <v>0</v>
      </c>
      <c r="Q34" s="505">
        <f>SUM(SUMIF('Diags Raw Data'!$A$6:$A$3786,"*"&amp;$A34&amp;"*",'Diags Raw Data'!$AA$6:$AA$3786),SUMIF('Diags Raw Data'!$A$6:$A$3786,"*"&amp;$A34&amp;"*",'Diags Raw Data'!$AB$6:$AB$3786))</f>
        <v>0</v>
      </c>
      <c r="R34" s="506">
        <f t="shared" si="3"/>
        <v>0</v>
      </c>
      <c r="S34" s="506">
        <f t="shared" si="4"/>
        <v>0</v>
      </c>
      <c r="T34" s="507">
        <f t="shared" si="5"/>
        <v>0</v>
      </c>
      <c r="U34" s="453" t="s">
        <v>1111</v>
      </c>
      <c r="V34" s="181"/>
    </row>
    <row r="35" spans="1:22" x14ac:dyDescent="0.25">
      <c r="A35" s="448" t="s">
        <v>468</v>
      </c>
      <c r="B35" s="449" t="str">
        <f>VLOOKUP(A35,'Feature Raw Data'!$A$3:$B$3986,2,FALSE)</f>
        <v>Feature name - EX-FEAT-029</v>
      </c>
      <c r="C35" s="450" t="str">
        <f>VLOOKUP(A35,'Feature Raw Data'!$A$3:$C$3986,3,FALSE)</f>
        <v>P2</v>
      </c>
      <c r="D35" s="451" t="str" cm="1">
        <f t="array" ref="D35">_xlfn.TEXTJOIN("",TRUE,IF(ISNUMBER(SEARCH($A35,'Diags Raw Data'!$A$6:$A$3786)),CONCATENATE('Diags Raw Data'!$H$6:$H$3786,", "),""))</f>
        <v xml:space="preserve">acpaz94.1-4, </v>
      </c>
      <c r="E35" s="342" t="str">
        <f>VLOOKUP(A35,'Diags Raw Data'!$A$6:$D$3786,4,FALSE)</f>
        <v>Interrupt Test</v>
      </c>
      <c r="F35" s="342" t="str">
        <f>VLOOKUP(A35,'Feature Raw Data'!$A$3:$E$3986,5,FALSE)</f>
        <v>Legacy</v>
      </c>
      <c r="G35" s="342" t="str">
        <f t="shared" si="0"/>
        <v>Yes</v>
      </c>
      <c r="H35" s="342" t="str">
        <f t="shared" si="1"/>
        <v>Yes</v>
      </c>
      <c r="I35" s="450">
        <f>SUMIF('Diags Raw Data'!$A$6:$A$3786,"*"&amp;$A35&amp;"*",'Diags Raw Data'!$K$6:$K$3786)</f>
        <v>1</v>
      </c>
      <c r="J35" s="452">
        <f>SUMIF('Diags Raw Data'!$A$6:$A$3786,"*"&amp;$A35&amp;"*",'Diags Raw Data'!$L$6:$L$3786)</f>
        <v>8</v>
      </c>
      <c r="K35" s="499" cm="1">
        <f t="array" ref="K35">IF(D35="",0, SUMPRODUCT(--(ISNUMBER(SEARCH($A35,'Diags Raw Data'!$A$6:$A$3786))),'Diags Raw Data'!$L$6:$L$3786,'Diags Raw Data'!$N$6:$N$3786)/J35)</f>
        <v>1</v>
      </c>
      <c r="L35" s="500" cm="1">
        <f t="array" ref="L35">IF(D35="",0, SUMPRODUCT(--(ISNUMBER(SEARCH($A35,'Diags Raw Data'!$A$6:$A$3786))),'Diags Raw Data'!$L$6:$L$3786,'Diags Raw Data'!$P$6:$P$3786)/J35)</f>
        <v>1</v>
      </c>
      <c r="M35" s="501" cm="1">
        <f t="array" ref="M35">SUMPRODUCT(--(ISNUMBER(SEARCH($A35,'Diags Raw Data'!$A$6:$A$3786))),--('Diags Raw Data'!$Q$6:$Q$3786&lt;&gt;"N/A"),'Diags Raw Data'!$R$6:$R$3786)</f>
        <v>8</v>
      </c>
      <c r="N35" s="502" cm="1">
        <f t="array" ref="N35">SUMPRODUCT(--(ISNUMBER(SEARCH($A35,'Diags Raw Data'!$A$6:$A$3786))),--('Diags Raw Data'!$Q$6:$Q$3786&lt;&gt;"N/A"),'Diags Raw Data'!$T$6:$T$3786)+SUMPRODUCT(--(ISNUMBER(SEARCH($A35,'Diags Raw Data'!$A$6:$A$3786))),--('Diags Raw Data'!$Q$6:$Q$3786&lt;&gt;"N/A"),'Diags Raw Data'!$U$6:$U$3786)</f>
        <v>8</v>
      </c>
      <c r="O35" s="503">
        <f t="shared" si="2"/>
        <v>1</v>
      </c>
      <c r="P35" s="504">
        <f>SUMIF('Diags Raw Data'!$A$6:$A$3786,"*"&amp;$A35&amp;"*",'Diags Raw Data'!$Z$6:$Z$3786)</f>
        <v>0</v>
      </c>
      <c r="Q35" s="505">
        <f>SUM(SUMIF('Diags Raw Data'!$A$6:$A$3786,"*"&amp;$A35&amp;"*",'Diags Raw Data'!$AA$6:$AA$3786),SUMIF('Diags Raw Data'!$A$6:$A$3786,"*"&amp;$A35&amp;"*",'Diags Raw Data'!$AB$6:$AB$3786))</f>
        <v>0</v>
      </c>
      <c r="R35" s="506">
        <f t="shared" si="3"/>
        <v>0</v>
      </c>
      <c r="S35" s="506">
        <f t="shared" si="4"/>
        <v>0</v>
      </c>
      <c r="T35" s="507">
        <f t="shared" si="5"/>
        <v>0</v>
      </c>
      <c r="U35" s="453" t="s">
        <v>47</v>
      </c>
      <c r="V35" s="181"/>
    </row>
    <row r="36" spans="1:22" ht="30" x14ac:dyDescent="0.25">
      <c r="A36" s="448" t="s">
        <v>470</v>
      </c>
      <c r="B36" s="449" t="str">
        <f>VLOOKUP(A36,'Feature Raw Data'!$A$3:$B$3986,2,FALSE)</f>
        <v>Feature name - EX-FEAT-030</v>
      </c>
      <c r="C36" s="450" t="str">
        <f>VLOOKUP(A36,'Feature Raw Data'!$A$3:$C$3986,3,FALSE)</f>
        <v>P2</v>
      </c>
      <c r="D36" s="451" t="str" cm="1">
        <f t="array" ref="D36">_xlfn.TEXTJOIN("",TRUE,IF(ISNUMBER(SEARCH($A36,'Diags Raw Data'!$A$6:$A$3786)),CONCATENATE('Diags Raw Data'!$H$6:$H$3786,", "),""))</f>
        <v xml:space="preserve">, </v>
      </c>
      <c r="E36" s="342" t="str">
        <f>VLOOKUP(A36,'Diags Raw Data'!$A$6:$D$3786,4,FALSE)</f>
        <v>Syshub Interface</v>
      </c>
      <c r="F36" s="342" t="str">
        <f>VLOOKUP(A36,'Feature Raw Data'!$A$3:$E$3986,5,FALSE)</f>
        <v>Legacy</v>
      </c>
      <c r="G36" s="342" t="str">
        <f t="shared" si="0"/>
        <v>Yes</v>
      </c>
      <c r="H36" s="342" t="str">
        <f t="shared" si="1"/>
        <v>Yes</v>
      </c>
      <c r="I36" s="450">
        <f>SUMIF('Diags Raw Data'!$A$6:$A$3786,"*"&amp;$A36&amp;"*",'Diags Raw Data'!$K$6:$K$3786)</f>
        <v>1</v>
      </c>
      <c r="J36" s="452">
        <f>SUMIF('Diags Raw Data'!$A$6:$A$3786,"*"&amp;$A36&amp;"*",'Diags Raw Data'!$L$6:$L$3786)</f>
        <v>1</v>
      </c>
      <c r="K36" s="499" cm="1">
        <f t="array" ref="K36">IF(D36="",0, SUMPRODUCT(--(ISNUMBER(SEARCH($A36,'Diags Raw Data'!$A$6:$A$3786))),'Diags Raw Data'!$L$6:$L$3786,'Diags Raw Data'!$N$6:$N$3786)/J36)</f>
        <v>1</v>
      </c>
      <c r="L36" s="500" cm="1">
        <f t="array" ref="L36">IF(D36="",0, SUMPRODUCT(--(ISNUMBER(SEARCH($A36,'Diags Raw Data'!$A$6:$A$3786))),'Diags Raw Data'!$L$6:$L$3786,'Diags Raw Data'!$P$6:$P$3786)/J36)</f>
        <v>1</v>
      </c>
      <c r="M36" s="501" cm="1">
        <f t="array" ref="M36">SUMPRODUCT(--(ISNUMBER(SEARCH($A36,'Diags Raw Data'!$A$6:$A$3786))),--('Diags Raw Data'!$Q$6:$Q$3786&lt;&gt;"N/A"),'Diags Raw Data'!$R$6:$R$3786)</f>
        <v>1</v>
      </c>
      <c r="N36" s="502" cm="1">
        <f t="array" ref="N36">SUMPRODUCT(--(ISNUMBER(SEARCH($A36,'Diags Raw Data'!$A$6:$A$3786))),--('Diags Raw Data'!$Q$6:$Q$3786&lt;&gt;"N/A"),'Diags Raw Data'!$T$6:$T$3786)+SUMPRODUCT(--(ISNUMBER(SEARCH($A36,'Diags Raw Data'!$A$6:$A$3786))),--('Diags Raw Data'!$Q$6:$Q$3786&lt;&gt;"N/A"),'Diags Raw Data'!$U$6:$U$3786)</f>
        <v>1</v>
      </c>
      <c r="O36" s="503">
        <f t="shared" si="2"/>
        <v>1</v>
      </c>
      <c r="P36" s="504">
        <f>SUMIF('Diags Raw Data'!$A$6:$A$3786,"*"&amp;$A36&amp;"*",'Diags Raw Data'!$Z$6:$Z$3786)</f>
        <v>0</v>
      </c>
      <c r="Q36" s="505">
        <f>SUM(SUMIF('Diags Raw Data'!$A$6:$A$3786,"*"&amp;$A36&amp;"*",'Diags Raw Data'!$AA$6:$AA$3786),SUMIF('Diags Raw Data'!$A$6:$A$3786,"*"&amp;$A36&amp;"*",'Diags Raw Data'!$AB$6:$AB$3786))</f>
        <v>0</v>
      </c>
      <c r="R36" s="506">
        <f t="shared" si="3"/>
        <v>0</v>
      </c>
      <c r="S36" s="506">
        <f t="shared" si="4"/>
        <v>0</v>
      </c>
      <c r="T36" s="507">
        <f t="shared" si="5"/>
        <v>0</v>
      </c>
      <c r="U36" s="453" t="s">
        <v>1108</v>
      </c>
      <c r="V36" s="181"/>
    </row>
    <row r="37" spans="1:22" ht="30" x14ac:dyDescent="0.25">
      <c r="A37" s="448" t="s">
        <v>474</v>
      </c>
      <c r="B37" s="449" t="str">
        <f>VLOOKUP(A37,'Feature Raw Data'!$A$3:$B$3986,2,FALSE)</f>
        <v>Feature name - EX-FEAT-031</v>
      </c>
      <c r="C37" s="450" t="str">
        <f>VLOOKUP(A37,'Feature Raw Data'!$A$3:$C$3986,3,FALSE)</f>
        <v>P2</v>
      </c>
      <c r="D37" s="451" t="str" cm="1">
        <f t="array" ref="D37">_xlfn.TEXTJOIN("",TRUE,IF(ISNUMBER(SEARCH($A37,'Diags Raw Data'!$A$6:$A$3786)),CONCATENATE('Diags Raw Data'!$H$6:$H$3786,", "),""))</f>
        <v xml:space="preserve">, </v>
      </c>
      <c r="E37" s="342" t="str">
        <f>VLOOKUP(A37,'Diags Raw Data'!$A$6:$D$3786,4,FALSE)</f>
        <v>Syshub Interface</v>
      </c>
      <c r="F37" s="342" t="str">
        <f>VLOOKUP(A37,'Feature Raw Data'!$A$3:$E$3986,5,FALSE)</f>
        <v>Legacy</v>
      </c>
      <c r="G37" s="342" t="str">
        <f t="shared" si="0"/>
        <v>Yes</v>
      </c>
      <c r="H37" s="342" t="str">
        <f t="shared" si="1"/>
        <v>Yes</v>
      </c>
      <c r="I37" s="450">
        <f>SUMIF('Diags Raw Data'!$A$6:$A$3786,"*"&amp;$A37&amp;"*",'Diags Raw Data'!$K$6:$K$3786)</f>
        <v>1</v>
      </c>
      <c r="J37" s="452">
        <f>SUMIF('Diags Raw Data'!$A$6:$A$3786,"*"&amp;$A37&amp;"*",'Diags Raw Data'!$L$6:$L$3786)</f>
        <v>1</v>
      </c>
      <c r="K37" s="499" cm="1">
        <f t="array" ref="K37">IF(D37="",0, SUMPRODUCT(--(ISNUMBER(SEARCH($A37,'Diags Raw Data'!$A$6:$A$3786))),'Diags Raw Data'!$L$6:$L$3786,'Diags Raw Data'!$N$6:$N$3786)/J37)</f>
        <v>1</v>
      </c>
      <c r="L37" s="500" cm="1">
        <f t="array" ref="L37">IF(D37="",0, SUMPRODUCT(--(ISNUMBER(SEARCH($A37,'Diags Raw Data'!$A$6:$A$3786))),'Diags Raw Data'!$L$6:$L$3786,'Diags Raw Data'!$P$6:$P$3786)/J37)</f>
        <v>1</v>
      </c>
      <c r="M37" s="501" cm="1">
        <f t="array" ref="M37">SUMPRODUCT(--(ISNUMBER(SEARCH($A37,'Diags Raw Data'!$A$6:$A$3786))),--('Diags Raw Data'!$Q$6:$Q$3786&lt;&gt;"N/A"),'Diags Raw Data'!$R$6:$R$3786)</f>
        <v>1</v>
      </c>
      <c r="N37" s="502" cm="1">
        <f t="array" ref="N37">SUMPRODUCT(--(ISNUMBER(SEARCH($A37,'Diags Raw Data'!$A$6:$A$3786))),--('Diags Raw Data'!$Q$6:$Q$3786&lt;&gt;"N/A"),'Diags Raw Data'!$T$6:$T$3786)+SUMPRODUCT(--(ISNUMBER(SEARCH($A37,'Diags Raw Data'!$A$6:$A$3786))),--('Diags Raw Data'!$Q$6:$Q$3786&lt;&gt;"N/A"),'Diags Raw Data'!$U$6:$U$3786)</f>
        <v>1</v>
      </c>
      <c r="O37" s="503">
        <f t="shared" si="2"/>
        <v>1</v>
      </c>
      <c r="P37" s="504">
        <f>SUMIF('Diags Raw Data'!$A$6:$A$3786,"*"&amp;$A37&amp;"*",'Diags Raw Data'!$Z$6:$Z$3786)</f>
        <v>0</v>
      </c>
      <c r="Q37" s="505">
        <f>SUM(SUMIF('Diags Raw Data'!$A$6:$A$3786,"*"&amp;$A37&amp;"*",'Diags Raw Data'!$AA$6:$AA$3786),SUMIF('Diags Raw Data'!$A$6:$A$3786,"*"&amp;$A37&amp;"*",'Diags Raw Data'!$AB$6:$AB$3786))</f>
        <v>0</v>
      </c>
      <c r="R37" s="506">
        <f t="shared" si="3"/>
        <v>0</v>
      </c>
      <c r="S37" s="506">
        <f t="shared" si="4"/>
        <v>0</v>
      </c>
      <c r="T37" s="507">
        <f t="shared" si="5"/>
        <v>0</v>
      </c>
      <c r="U37" s="453" t="s">
        <v>1112</v>
      </c>
      <c r="V37" s="181"/>
    </row>
    <row r="38" spans="1:22" s="186" customFormat="1" ht="30" x14ac:dyDescent="0.25">
      <c r="A38" s="448" t="s">
        <v>477</v>
      </c>
      <c r="B38" s="449" t="str">
        <f>VLOOKUP(A38,'Feature Raw Data'!$A$3:$B$3986,2,FALSE)</f>
        <v>Feature name - EX-FEAT-032</v>
      </c>
      <c r="C38" s="450" t="str">
        <f>VLOOKUP(A38,'Feature Raw Data'!$A$3:$C$3986,3,FALSE)</f>
        <v>P2</v>
      </c>
      <c r="D38" s="451" t="str" cm="1">
        <f t="array" ref="D38">_xlfn.TEXTJOIN("",TRUE,IF(ISNUMBER(SEARCH($A38,'Diags Raw Data'!$A$6:$A$3786)),CONCATENATE('Diags Raw Data'!$H$6:$H$3786,", "),""))</f>
        <v xml:space="preserve">acpaz64, </v>
      </c>
      <c r="E38" s="342" t="str">
        <f>VLOOKUP(A38,'Diags Raw Data'!$A$6:$D$3786,4,FALSE)</f>
        <v>Syshub Interface</v>
      </c>
      <c r="F38" s="342" t="str">
        <f>VLOOKUP(A38,'Feature Raw Data'!$A$3:$E$3986,5,FALSE)</f>
        <v>Legacy</v>
      </c>
      <c r="G38" s="342" t="str">
        <f t="shared" si="0"/>
        <v>Yes</v>
      </c>
      <c r="H38" s="342" t="str">
        <f t="shared" si="1"/>
        <v>Yes</v>
      </c>
      <c r="I38" s="450">
        <f>SUMIF('Diags Raw Data'!$A$6:$A$3786,"*"&amp;$A38&amp;"*",'Diags Raw Data'!$K$6:$K$3786)</f>
        <v>1</v>
      </c>
      <c r="J38" s="452">
        <f>SUMIF('Diags Raw Data'!$A$6:$A$3786,"*"&amp;$A38&amp;"*",'Diags Raw Data'!$L$6:$L$3786)</f>
        <v>108</v>
      </c>
      <c r="K38" s="499" cm="1">
        <f t="array" ref="K38">IF(D38="",0, SUMPRODUCT(--(ISNUMBER(SEARCH($A38,'Diags Raw Data'!$A$6:$A$3786))),'Diags Raw Data'!$L$6:$L$3786,'Diags Raw Data'!$N$6:$N$3786)/J38)</f>
        <v>1</v>
      </c>
      <c r="L38" s="500" cm="1">
        <f t="array" ref="L38">IF(D38="",0, SUMPRODUCT(--(ISNUMBER(SEARCH($A38,'Diags Raw Data'!$A$6:$A$3786))),'Diags Raw Data'!$L$6:$L$3786,'Diags Raw Data'!$P$6:$P$3786)/J38)</f>
        <v>1</v>
      </c>
      <c r="M38" s="501" cm="1">
        <f t="array" ref="M38">SUMPRODUCT(--(ISNUMBER(SEARCH($A38,'Diags Raw Data'!$A$6:$A$3786))),--('Diags Raw Data'!$Q$6:$Q$3786&lt;&gt;"N/A"),'Diags Raw Data'!$R$6:$R$3786)</f>
        <v>108</v>
      </c>
      <c r="N38" s="502" cm="1">
        <f t="array" ref="N38">SUMPRODUCT(--(ISNUMBER(SEARCH($A38,'Diags Raw Data'!$A$6:$A$3786))),--('Diags Raw Data'!$Q$6:$Q$3786&lt;&gt;"N/A"),'Diags Raw Data'!$T$6:$T$3786)+SUMPRODUCT(--(ISNUMBER(SEARCH($A38,'Diags Raw Data'!$A$6:$A$3786))),--('Diags Raw Data'!$Q$6:$Q$3786&lt;&gt;"N/A"),'Diags Raw Data'!$U$6:$U$3786)</f>
        <v>108</v>
      </c>
      <c r="O38" s="503">
        <f t="shared" si="2"/>
        <v>1</v>
      </c>
      <c r="P38" s="504">
        <f>SUMIF('Diags Raw Data'!$A$6:$A$3786,"*"&amp;$A38&amp;"*",'Diags Raw Data'!$Z$6:$Z$3786)</f>
        <v>0</v>
      </c>
      <c r="Q38" s="505">
        <f>SUM(SUMIF('Diags Raw Data'!$A$6:$A$3786,"*"&amp;$A38&amp;"*",'Diags Raw Data'!$AA$6:$AA$3786),SUMIF('Diags Raw Data'!$A$6:$A$3786,"*"&amp;$A38&amp;"*",'Diags Raw Data'!$AB$6:$AB$3786))</f>
        <v>0</v>
      </c>
      <c r="R38" s="506">
        <f t="shared" si="3"/>
        <v>0</v>
      </c>
      <c r="S38" s="506">
        <f t="shared" si="4"/>
        <v>0</v>
      </c>
      <c r="T38" s="507">
        <f t="shared" si="5"/>
        <v>0</v>
      </c>
      <c r="U38" s="453" t="s">
        <v>1110</v>
      </c>
      <c r="V38" s="185"/>
    </row>
    <row r="39" spans="1:22" ht="30" x14ac:dyDescent="0.25">
      <c r="A39" s="448" t="s">
        <v>483</v>
      </c>
      <c r="B39" s="449" t="str">
        <f>VLOOKUP(A39,'Feature Raw Data'!$A$3:$B$3986,2,FALSE)</f>
        <v>Feature name - EX-FEAT-033</v>
      </c>
      <c r="C39" s="450" t="str">
        <f>VLOOKUP(A39,'Feature Raw Data'!$A$3:$C$3986,3,FALSE)</f>
        <v>P2</v>
      </c>
      <c r="D39" s="451" t="str" cm="1">
        <f t="array" ref="D39">_xlfn.TEXTJOIN("",TRUE,IF(ISNUMBER(SEARCH($A39,'Diags Raw Data'!$A$6:$A$3786)),CONCATENATE('Diags Raw Data'!$H$6:$H$3786,", "),""))</f>
        <v xml:space="preserve">acpaz16.1-3, </v>
      </c>
      <c r="E39" s="342" t="str">
        <f>VLOOKUP(A39,'Diags Raw Data'!$A$6:$D$3786,4,FALSE)</f>
        <v>Syshub Interface</v>
      </c>
      <c r="F39" s="342" t="str">
        <f>VLOOKUP(A39,'Feature Raw Data'!$A$3:$E$3986,5,FALSE)</f>
        <v>Legacy</v>
      </c>
      <c r="G39" s="342" t="str">
        <f t="shared" ref="G39:G70" si="6">IF(D39="","No","Yes")</f>
        <v>Yes</v>
      </c>
      <c r="H39" s="342" t="str">
        <f t="shared" ref="H39:H70" si="7">IF(D39="","No","Yes")</f>
        <v>Yes</v>
      </c>
      <c r="I39" s="450">
        <f>SUMIF('Diags Raw Data'!$A$6:$A$3786,"*"&amp;$A39&amp;"*",'Diags Raw Data'!$K$6:$K$3786)</f>
        <v>1</v>
      </c>
      <c r="J39" s="452">
        <f>SUMIF('Diags Raw Data'!$A$6:$A$3786,"*"&amp;$A39&amp;"*",'Diags Raw Data'!$L$6:$L$3786)</f>
        <v>3</v>
      </c>
      <c r="K39" s="499" cm="1">
        <f t="array" ref="K39">IF(D39="",0, SUMPRODUCT(--(ISNUMBER(SEARCH($A39,'Diags Raw Data'!$A$6:$A$3786))),'Diags Raw Data'!$L$6:$L$3786,'Diags Raw Data'!$N$6:$N$3786)/J39)</f>
        <v>1</v>
      </c>
      <c r="L39" s="500" cm="1">
        <f t="array" ref="L39">IF(D39="",0, SUMPRODUCT(--(ISNUMBER(SEARCH($A39,'Diags Raw Data'!$A$6:$A$3786))),'Diags Raw Data'!$L$6:$L$3786,'Diags Raw Data'!$P$6:$P$3786)/J39)</f>
        <v>1</v>
      </c>
      <c r="M39" s="501" cm="1">
        <f t="array" ref="M39">SUMPRODUCT(--(ISNUMBER(SEARCH($A39,'Diags Raw Data'!$A$6:$A$3786))),--('Diags Raw Data'!$Q$6:$Q$3786&lt;&gt;"N/A"),'Diags Raw Data'!$R$6:$R$3786)</f>
        <v>3</v>
      </c>
      <c r="N39" s="502" cm="1">
        <f t="array" ref="N39">SUMPRODUCT(--(ISNUMBER(SEARCH($A39,'Diags Raw Data'!$A$6:$A$3786))),--('Diags Raw Data'!$Q$6:$Q$3786&lt;&gt;"N/A"),'Diags Raw Data'!$T$6:$T$3786)+SUMPRODUCT(--(ISNUMBER(SEARCH($A39,'Diags Raw Data'!$A$6:$A$3786))),--('Diags Raw Data'!$Q$6:$Q$3786&lt;&gt;"N/A"),'Diags Raw Data'!$U$6:$U$3786)</f>
        <v>3</v>
      </c>
      <c r="O39" s="503">
        <f t="shared" si="2"/>
        <v>1</v>
      </c>
      <c r="P39" s="504">
        <f>SUMIF('Diags Raw Data'!$A$6:$A$3786,"*"&amp;$A39&amp;"*",'Diags Raw Data'!$Z$6:$Z$3786)</f>
        <v>0</v>
      </c>
      <c r="Q39" s="505">
        <f>SUM(SUMIF('Diags Raw Data'!$A$6:$A$3786,"*"&amp;$A39&amp;"*",'Diags Raw Data'!$AA$6:$AA$3786),SUMIF('Diags Raw Data'!$A$6:$A$3786,"*"&amp;$A39&amp;"*",'Diags Raw Data'!$AB$6:$AB$3786))</f>
        <v>0</v>
      </c>
      <c r="R39" s="506">
        <f t="shared" si="3"/>
        <v>0</v>
      </c>
      <c r="S39" s="506">
        <f t="shared" si="4"/>
        <v>0</v>
      </c>
      <c r="T39" s="507">
        <f t="shared" si="5"/>
        <v>0</v>
      </c>
      <c r="U39" s="453" t="s">
        <v>47</v>
      </c>
      <c r="V39" s="181"/>
    </row>
    <row r="40" spans="1:22" ht="30" x14ac:dyDescent="0.25">
      <c r="A40" s="448" t="s">
        <v>489</v>
      </c>
      <c r="B40" s="449" t="str">
        <f>VLOOKUP(A40,'Feature Raw Data'!$A$3:$B$3986,2,FALSE)</f>
        <v>Feature name - EX-FEAT-034</v>
      </c>
      <c r="C40" s="450" t="str">
        <f>VLOOKUP(A40,'Feature Raw Data'!$A$3:$C$3986,3,FALSE)</f>
        <v>P2</v>
      </c>
      <c r="D40" s="451" t="str" cm="1">
        <f t="array" ref="D40">_xlfn.TEXTJOIN("",TRUE,IF(ISNUMBER(SEARCH($A40,'Diags Raw Data'!$A$6:$A$3786)),CONCATENATE('Diags Raw Data'!$H$6:$H$3786,", "),""))</f>
        <v xml:space="preserve">acpaz15.1-3, </v>
      </c>
      <c r="E40" s="342" t="str">
        <f>VLOOKUP(A40,'Diags Raw Data'!$A$6:$D$3786,4,FALSE)</f>
        <v>Syshub Interface</v>
      </c>
      <c r="F40" s="342" t="str">
        <f>VLOOKUP(A40,'Feature Raw Data'!$A$3:$E$3986,5,FALSE)</f>
        <v>Legacy</v>
      </c>
      <c r="G40" s="342" t="str">
        <f t="shared" si="6"/>
        <v>Yes</v>
      </c>
      <c r="H40" s="342" t="str">
        <f t="shared" si="7"/>
        <v>Yes</v>
      </c>
      <c r="I40" s="450">
        <f>SUMIF('Diags Raw Data'!$A$6:$A$3786,"*"&amp;$A40&amp;"*",'Diags Raw Data'!$K$6:$K$3786)</f>
        <v>1</v>
      </c>
      <c r="J40" s="452">
        <f>SUMIF('Diags Raw Data'!$A$6:$A$3786,"*"&amp;$A40&amp;"*",'Diags Raw Data'!$L$6:$L$3786)</f>
        <v>3</v>
      </c>
      <c r="K40" s="499" cm="1">
        <f t="array" ref="K40">IF(D40="",0, SUMPRODUCT(--(ISNUMBER(SEARCH($A40,'Diags Raw Data'!$A$6:$A$3786))),'Diags Raw Data'!$L$6:$L$3786,'Diags Raw Data'!$N$6:$N$3786)/J40)</f>
        <v>1</v>
      </c>
      <c r="L40" s="500" cm="1">
        <f t="array" ref="L40">IF(D40="",0, SUMPRODUCT(--(ISNUMBER(SEARCH($A40,'Diags Raw Data'!$A$6:$A$3786))),'Diags Raw Data'!$L$6:$L$3786,'Diags Raw Data'!$P$6:$P$3786)/J40)</f>
        <v>1</v>
      </c>
      <c r="M40" s="501" cm="1">
        <f t="array" ref="M40">SUMPRODUCT(--(ISNUMBER(SEARCH($A40,'Diags Raw Data'!$A$6:$A$3786))),--('Diags Raw Data'!$Q$6:$Q$3786&lt;&gt;"N/A"),'Diags Raw Data'!$R$6:$R$3786)</f>
        <v>3</v>
      </c>
      <c r="N40" s="502" cm="1">
        <f t="array" ref="N40">SUMPRODUCT(--(ISNUMBER(SEARCH($A40,'Diags Raw Data'!$A$6:$A$3786))),--('Diags Raw Data'!$Q$6:$Q$3786&lt;&gt;"N/A"),'Diags Raw Data'!$T$6:$T$3786)+SUMPRODUCT(--(ISNUMBER(SEARCH($A40,'Diags Raw Data'!$A$6:$A$3786))),--('Diags Raw Data'!$Q$6:$Q$3786&lt;&gt;"N/A"),'Diags Raw Data'!$U$6:$U$3786)</f>
        <v>3</v>
      </c>
      <c r="O40" s="503">
        <f t="shared" si="2"/>
        <v>1</v>
      </c>
      <c r="P40" s="504">
        <f>SUMIF('Diags Raw Data'!$A$6:$A$3786,"*"&amp;$A40&amp;"*",'Diags Raw Data'!$Z$6:$Z$3786)</f>
        <v>0</v>
      </c>
      <c r="Q40" s="505">
        <f>SUM(SUMIF('Diags Raw Data'!$A$6:$A$3786,"*"&amp;$A40&amp;"*",'Diags Raw Data'!$AA$6:$AA$3786),SUMIF('Diags Raw Data'!$A$6:$A$3786,"*"&amp;$A40&amp;"*",'Diags Raw Data'!$AB$6:$AB$3786))</f>
        <v>0</v>
      </c>
      <c r="R40" s="506">
        <f t="shared" si="3"/>
        <v>0</v>
      </c>
      <c r="S40" s="506">
        <f t="shared" si="4"/>
        <v>0</v>
      </c>
      <c r="T40" s="507">
        <f t="shared" si="5"/>
        <v>0</v>
      </c>
      <c r="U40" s="453" t="s">
        <v>1110</v>
      </c>
      <c r="V40" s="181"/>
    </row>
    <row r="41" spans="1:22" ht="30" x14ac:dyDescent="0.25">
      <c r="A41" s="448" t="s">
        <v>494</v>
      </c>
      <c r="B41" s="449" t="str">
        <f>VLOOKUP(A41,'Feature Raw Data'!$A$3:$B$3986,2,FALSE)</f>
        <v>Feature name - EX-FEAT-035</v>
      </c>
      <c r="C41" s="450" t="str">
        <f>VLOOKUP(A41,'Feature Raw Data'!$A$3:$C$3986,3,FALSE)</f>
        <v>P2</v>
      </c>
      <c r="D41" s="451" t="str" cm="1">
        <f t="array" ref="D41">_xlfn.TEXTJOIN("",TRUE,IF(ISNUMBER(SEARCH($A41,'Diags Raw Data'!$A$6:$A$3786)),CONCATENATE('Diags Raw Data'!$H$6:$H$3786,", "),""))</f>
        <v xml:space="preserve">acpaz64, </v>
      </c>
      <c r="E41" s="342" t="str">
        <f>VLOOKUP(A41,'Diags Raw Data'!$A$6:$D$3786,4,FALSE)</f>
        <v>Syshub Interface</v>
      </c>
      <c r="F41" s="342" t="str">
        <f>VLOOKUP(A41,'Feature Raw Data'!$A$3:$E$3986,5,FALSE)</f>
        <v>Legacy</v>
      </c>
      <c r="G41" s="342" t="str">
        <f t="shared" si="6"/>
        <v>Yes</v>
      </c>
      <c r="H41" s="342" t="str">
        <f t="shared" si="7"/>
        <v>Yes</v>
      </c>
      <c r="I41" s="450">
        <f>SUMIF('Diags Raw Data'!$A$6:$A$3786,"*"&amp;$A41&amp;"*",'Diags Raw Data'!$K$6:$K$3786)</f>
        <v>1</v>
      </c>
      <c r="J41" s="452">
        <f>SUMIF('Diags Raw Data'!$A$6:$A$3786,"*"&amp;$A41&amp;"*",'Diags Raw Data'!$L$6:$L$3786)</f>
        <v>1</v>
      </c>
      <c r="K41" s="499" cm="1">
        <f t="array" ref="K41">IF(D41="",0, SUMPRODUCT(--(ISNUMBER(SEARCH($A41,'Diags Raw Data'!$A$6:$A$3786))),'Diags Raw Data'!$L$6:$L$3786,'Diags Raw Data'!$N$6:$N$3786)/J41)</f>
        <v>1</v>
      </c>
      <c r="L41" s="500" cm="1">
        <f t="array" ref="L41">IF(D41="",0, SUMPRODUCT(--(ISNUMBER(SEARCH($A41,'Diags Raw Data'!$A$6:$A$3786))),'Diags Raw Data'!$L$6:$L$3786,'Diags Raw Data'!$P$6:$P$3786)/J41)</f>
        <v>1</v>
      </c>
      <c r="M41" s="501" cm="1">
        <f t="array" ref="M41">SUMPRODUCT(--(ISNUMBER(SEARCH($A41,'Diags Raw Data'!$A$6:$A$3786))),--('Diags Raw Data'!$Q$6:$Q$3786&lt;&gt;"N/A"),'Diags Raw Data'!$R$6:$R$3786)</f>
        <v>1</v>
      </c>
      <c r="N41" s="502" cm="1">
        <f t="array" ref="N41">SUMPRODUCT(--(ISNUMBER(SEARCH($A41,'Diags Raw Data'!$A$6:$A$3786))),--('Diags Raw Data'!$Q$6:$Q$3786&lt;&gt;"N/A"),'Diags Raw Data'!$T$6:$T$3786)+SUMPRODUCT(--(ISNUMBER(SEARCH($A41,'Diags Raw Data'!$A$6:$A$3786))),--('Diags Raw Data'!$Q$6:$Q$3786&lt;&gt;"N/A"),'Diags Raw Data'!$U$6:$U$3786)</f>
        <v>1</v>
      </c>
      <c r="O41" s="503">
        <f t="shared" si="2"/>
        <v>1</v>
      </c>
      <c r="P41" s="504">
        <f>SUMIF('Diags Raw Data'!$A$6:$A$3786,"*"&amp;$A41&amp;"*",'Diags Raw Data'!$Z$6:$Z$3786)</f>
        <v>0</v>
      </c>
      <c r="Q41" s="505">
        <f>SUM(SUMIF('Diags Raw Data'!$A$6:$A$3786,"*"&amp;$A41&amp;"*",'Diags Raw Data'!$AA$6:$AA$3786),SUMIF('Diags Raw Data'!$A$6:$A$3786,"*"&amp;$A41&amp;"*",'Diags Raw Data'!$AB$6:$AB$3786))</f>
        <v>0</v>
      </c>
      <c r="R41" s="506">
        <f t="shared" si="3"/>
        <v>0</v>
      </c>
      <c r="S41" s="506">
        <f t="shared" si="4"/>
        <v>0</v>
      </c>
      <c r="T41" s="507">
        <f t="shared" si="5"/>
        <v>0</v>
      </c>
      <c r="U41" s="453" t="s">
        <v>1111</v>
      </c>
      <c r="V41" s="181"/>
    </row>
    <row r="42" spans="1:22" ht="60" x14ac:dyDescent="0.25">
      <c r="A42" s="448" t="s">
        <v>496</v>
      </c>
      <c r="B42" s="449" t="str">
        <f>VLOOKUP(A42,'Feature Raw Data'!$A$3:$B$3986,2,FALSE)</f>
        <v>Feature name - EX-FEAT-036</v>
      </c>
      <c r="C42" s="450" t="str">
        <f>VLOOKUP(A42,'Feature Raw Data'!$A$3:$C$3986,3,FALSE)</f>
        <v>P2</v>
      </c>
      <c r="D42" s="451" t="str" cm="1">
        <f t="array" ref="D42">_xlfn.TEXTJOIN("",TRUE,IF(ISNUMBER(SEARCH($A42,'Diags Raw Data'!$A$6:$A$3786)),CONCATENATE('Diags Raw Data'!$H$6:$H$3786,", "),""))</f>
        <v xml:space="preserve">acpaz8.1-3, acpaz9.1-3, acpaz10.1-3, </v>
      </c>
      <c r="E42" s="342" t="str">
        <f>VLOOKUP(A42,'Diags Raw Data'!$A$6:$D$3786,4,FALSE)</f>
        <v>System memory address translation</v>
      </c>
      <c r="F42" s="342" t="str">
        <f>VLOOKUP(A42,'Feature Raw Data'!$A$3:$E$3986,5,FALSE)</f>
        <v>Legacy</v>
      </c>
      <c r="G42" s="342" t="str">
        <f t="shared" si="6"/>
        <v>Yes</v>
      </c>
      <c r="H42" s="342" t="str">
        <f t="shared" si="7"/>
        <v>Yes</v>
      </c>
      <c r="I42" s="450">
        <f>SUMIF('Diags Raw Data'!$A$6:$A$3786,"*"&amp;$A42&amp;"*",'Diags Raw Data'!$K$6:$K$3786)</f>
        <v>3</v>
      </c>
      <c r="J42" s="452">
        <f>SUMIF('Diags Raw Data'!$A$6:$A$3786,"*"&amp;$A42&amp;"*",'Diags Raw Data'!$L$6:$L$3786)</f>
        <v>9</v>
      </c>
      <c r="K42" s="499" cm="1">
        <f t="array" ref="K42">IF(D42="",0, SUMPRODUCT(--(ISNUMBER(SEARCH($A42,'Diags Raw Data'!$A$6:$A$3786))),'Diags Raw Data'!$L$6:$L$3786,'Diags Raw Data'!$N$6:$N$3786)/J42)</f>
        <v>1</v>
      </c>
      <c r="L42" s="500" cm="1">
        <f t="array" ref="L42">IF(D42="",0, SUMPRODUCT(--(ISNUMBER(SEARCH($A42,'Diags Raw Data'!$A$6:$A$3786))),'Diags Raw Data'!$L$6:$L$3786,'Diags Raw Data'!$P$6:$P$3786)/J42)</f>
        <v>1</v>
      </c>
      <c r="M42" s="501" cm="1">
        <f t="array" ref="M42">SUMPRODUCT(--(ISNUMBER(SEARCH($A42,'Diags Raw Data'!$A$6:$A$3786))),--('Diags Raw Data'!$Q$6:$Q$3786&lt;&gt;"N/A"),'Diags Raw Data'!$R$6:$R$3786)</f>
        <v>9</v>
      </c>
      <c r="N42" s="502" cm="1">
        <f t="array" ref="N42">SUMPRODUCT(--(ISNUMBER(SEARCH($A42,'Diags Raw Data'!$A$6:$A$3786))),--('Diags Raw Data'!$Q$6:$Q$3786&lt;&gt;"N/A"),'Diags Raw Data'!$T$6:$T$3786)+SUMPRODUCT(--(ISNUMBER(SEARCH($A42,'Diags Raw Data'!$A$6:$A$3786))),--('Diags Raw Data'!$Q$6:$Q$3786&lt;&gt;"N/A"),'Diags Raw Data'!$U$6:$U$3786)</f>
        <v>9</v>
      </c>
      <c r="O42" s="503">
        <f t="shared" si="2"/>
        <v>1</v>
      </c>
      <c r="P42" s="504">
        <f>SUMIF('Diags Raw Data'!$A$6:$A$3786,"*"&amp;$A42&amp;"*",'Diags Raw Data'!$Z$6:$Z$3786)</f>
        <v>0</v>
      </c>
      <c r="Q42" s="505">
        <f>SUM(SUMIF('Diags Raw Data'!$A$6:$A$3786,"*"&amp;$A42&amp;"*",'Diags Raw Data'!$AA$6:$AA$3786),SUMIF('Diags Raw Data'!$A$6:$A$3786,"*"&amp;$A42&amp;"*",'Diags Raw Data'!$AB$6:$AB$3786))</f>
        <v>0</v>
      </c>
      <c r="R42" s="506">
        <f t="shared" si="3"/>
        <v>0</v>
      </c>
      <c r="S42" s="506">
        <f t="shared" si="4"/>
        <v>0</v>
      </c>
      <c r="T42" s="507">
        <f t="shared" si="5"/>
        <v>0</v>
      </c>
      <c r="U42" s="453" t="s">
        <v>47</v>
      </c>
      <c r="V42" s="181"/>
    </row>
    <row r="43" spans="1:22" ht="60" x14ac:dyDescent="0.25">
      <c r="A43" s="448" t="s">
        <v>507</v>
      </c>
      <c r="B43" s="449" t="str">
        <f>VLOOKUP(A43,'Feature Raw Data'!$A$3:$B$3986,2,FALSE)</f>
        <v>Feature name - EX-FEAT-037</v>
      </c>
      <c r="C43" s="450" t="str">
        <f>VLOOKUP(A43,'Feature Raw Data'!$A$3:$C$3986,3,FALSE)</f>
        <v>P2</v>
      </c>
      <c r="D43" s="451" t="str" cm="1">
        <f t="array" ref="D43">_xlfn.TEXTJOIN("",TRUE,IF(ISNUMBER(SEARCH($A43,'Diags Raw Data'!$A$6:$A$3786)),CONCATENATE('Diags Raw Data'!$H$6:$H$3786,", "),""))</f>
        <v xml:space="preserve">, , , </v>
      </c>
      <c r="E43" s="342" t="str">
        <f>VLOOKUP(A43,'Diags Raw Data'!$A$6:$D$3786,4,FALSE)</f>
        <v>System memory address translation</v>
      </c>
      <c r="F43" s="342" t="str">
        <f>VLOOKUP(A43,'Feature Raw Data'!$A$3:$E$3986,5,FALSE)</f>
        <v>Legacy</v>
      </c>
      <c r="G43" s="342" t="str">
        <f t="shared" si="6"/>
        <v>Yes</v>
      </c>
      <c r="H43" s="342" t="str">
        <f t="shared" si="7"/>
        <v>Yes</v>
      </c>
      <c r="I43" s="450">
        <f>SUMIF('Diags Raw Data'!$A$6:$A$3786,"*"&amp;$A43&amp;"*",'Diags Raw Data'!$K$6:$K$3786)</f>
        <v>3</v>
      </c>
      <c r="J43" s="452">
        <f>SUMIF('Diags Raw Data'!$A$6:$A$3786,"*"&amp;$A43&amp;"*",'Diags Raw Data'!$L$6:$L$3786)</f>
        <v>3</v>
      </c>
      <c r="K43" s="499" cm="1">
        <f t="array" ref="K43">IF(D43="",0, SUMPRODUCT(--(ISNUMBER(SEARCH($A43,'Diags Raw Data'!$A$6:$A$3786))),'Diags Raw Data'!$L$6:$L$3786,'Diags Raw Data'!$N$6:$N$3786)/J43)</f>
        <v>1</v>
      </c>
      <c r="L43" s="500" cm="1">
        <f t="array" ref="L43">IF(D43="",0, SUMPRODUCT(--(ISNUMBER(SEARCH($A43,'Diags Raw Data'!$A$6:$A$3786))),'Diags Raw Data'!$L$6:$L$3786,'Diags Raw Data'!$P$6:$P$3786)/J43)</f>
        <v>1</v>
      </c>
      <c r="M43" s="501" cm="1">
        <f t="array" ref="M43">SUMPRODUCT(--(ISNUMBER(SEARCH($A43,'Diags Raw Data'!$A$6:$A$3786))),--('Diags Raw Data'!$Q$6:$Q$3786&lt;&gt;"N/A"),'Diags Raw Data'!$R$6:$R$3786)</f>
        <v>3</v>
      </c>
      <c r="N43" s="502" cm="1">
        <f t="array" ref="N43">SUMPRODUCT(--(ISNUMBER(SEARCH($A43,'Diags Raw Data'!$A$6:$A$3786))),--('Diags Raw Data'!$Q$6:$Q$3786&lt;&gt;"N/A"),'Diags Raw Data'!$T$6:$T$3786)+SUMPRODUCT(--(ISNUMBER(SEARCH($A43,'Diags Raw Data'!$A$6:$A$3786))),--('Diags Raw Data'!$Q$6:$Q$3786&lt;&gt;"N/A"),'Diags Raw Data'!$U$6:$U$3786)</f>
        <v>3</v>
      </c>
      <c r="O43" s="503">
        <f t="shared" si="2"/>
        <v>1</v>
      </c>
      <c r="P43" s="504">
        <f>SUMIF('Diags Raw Data'!$A$6:$A$3786,"*"&amp;$A43&amp;"*",'Diags Raw Data'!$Z$6:$Z$3786)</f>
        <v>0</v>
      </c>
      <c r="Q43" s="505">
        <f>SUM(SUMIF('Diags Raw Data'!$A$6:$A$3786,"*"&amp;$A43&amp;"*",'Diags Raw Data'!$AA$6:$AA$3786),SUMIF('Diags Raw Data'!$A$6:$A$3786,"*"&amp;$A43&amp;"*",'Diags Raw Data'!$AB$6:$AB$3786))</f>
        <v>0</v>
      </c>
      <c r="R43" s="506">
        <f t="shared" si="3"/>
        <v>0</v>
      </c>
      <c r="S43" s="506">
        <f t="shared" si="4"/>
        <v>0</v>
      </c>
      <c r="T43" s="507">
        <f t="shared" si="5"/>
        <v>0</v>
      </c>
      <c r="U43" s="453" t="s">
        <v>277</v>
      </c>
      <c r="V43" s="181"/>
    </row>
    <row r="44" spans="1:22" ht="60" x14ac:dyDescent="0.25">
      <c r="A44" s="448" t="s">
        <v>509</v>
      </c>
      <c r="B44" s="449" t="str">
        <f>VLOOKUP(A44,'Feature Raw Data'!$A$3:$B$3986,2,FALSE)</f>
        <v>Feature name - EX-FEAT-038</v>
      </c>
      <c r="C44" s="450" t="str">
        <f>VLOOKUP(A44,'Feature Raw Data'!$A$3:$C$3986,3,FALSE)</f>
        <v>P2</v>
      </c>
      <c r="D44" s="451" t="str" cm="1">
        <f t="array" ref="D44">_xlfn.TEXTJOIN("",TRUE,IF(ISNUMBER(SEARCH($A44,'Diags Raw Data'!$A$6:$A$3786)),CONCATENATE('Diags Raw Data'!$H$6:$H$3786,", "),""))</f>
        <v xml:space="preserve">acpaz14.1-3, </v>
      </c>
      <c r="E44" s="342" t="str">
        <f>VLOOKUP(A44,'Diags Raw Data'!$A$6:$D$3786,4,FALSE)</f>
        <v>System memory address translation</v>
      </c>
      <c r="F44" s="342" t="str">
        <f>VLOOKUP(A44,'Feature Raw Data'!$A$3:$E$3986,5,FALSE)</f>
        <v>Legacy</v>
      </c>
      <c r="G44" s="342" t="str">
        <f t="shared" si="6"/>
        <v>Yes</v>
      </c>
      <c r="H44" s="342" t="str">
        <f t="shared" si="7"/>
        <v>Yes</v>
      </c>
      <c r="I44" s="450">
        <f>SUMIF('Diags Raw Data'!$A$6:$A$3786,"*"&amp;$A44&amp;"*",'Diags Raw Data'!$K$6:$K$3786)</f>
        <v>1</v>
      </c>
      <c r="J44" s="452">
        <f>SUMIF('Diags Raw Data'!$A$6:$A$3786,"*"&amp;$A44&amp;"*",'Diags Raw Data'!$L$6:$L$3786)</f>
        <v>3</v>
      </c>
      <c r="K44" s="499" cm="1">
        <f t="array" ref="K44">IF(D44="",0, SUMPRODUCT(--(ISNUMBER(SEARCH($A44,'Diags Raw Data'!$A$6:$A$3786))),'Diags Raw Data'!$L$6:$L$3786,'Diags Raw Data'!$N$6:$N$3786)/J44)</f>
        <v>1</v>
      </c>
      <c r="L44" s="500" cm="1">
        <f t="array" ref="L44">IF(D44="",0, SUMPRODUCT(--(ISNUMBER(SEARCH($A44,'Diags Raw Data'!$A$6:$A$3786))),'Diags Raw Data'!$L$6:$L$3786,'Diags Raw Data'!$P$6:$P$3786)/J44)</f>
        <v>1</v>
      </c>
      <c r="M44" s="501" cm="1">
        <f t="array" ref="M44">SUMPRODUCT(--(ISNUMBER(SEARCH($A44,'Diags Raw Data'!$A$6:$A$3786))),--('Diags Raw Data'!$Q$6:$Q$3786&lt;&gt;"N/A"),'Diags Raw Data'!$R$6:$R$3786)</f>
        <v>3</v>
      </c>
      <c r="N44" s="502" cm="1">
        <f t="array" ref="N44">SUMPRODUCT(--(ISNUMBER(SEARCH($A44,'Diags Raw Data'!$A$6:$A$3786))),--('Diags Raw Data'!$Q$6:$Q$3786&lt;&gt;"N/A"),'Diags Raw Data'!$T$6:$T$3786)+SUMPRODUCT(--(ISNUMBER(SEARCH($A44,'Diags Raw Data'!$A$6:$A$3786))),--('Diags Raw Data'!$Q$6:$Q$3786&lt;&gt;"N/A"),'Diags Raw Data'!$U$6:$U$3786)</f>
        <v>3</v>
      </c>
      <c r="O44" s="503">
        <f t="shared" si="2"/>
        <v>1</v>
      </c>
      <c r="P44" s="504">
        <f>SUMIF('Diags Raw Data'!$A$6:$A$3786,"*"&amp;$A44&amp;"*",'Diags Raw Data'!$Z$6:$Z$3786)</f>
        <v>0</v>
      </c>
      <c r="Q44" s="505">
        <f>SUM(SUMIF('Diags Raw Data'!$A$6:$A$3786,"*"&amp;$A44&amp;"*",'Diags Raw Data'!$AA$6:$AA$3786),SUMIF('Diags Raw Data'!$A$6:$A$3786,"*"&amp;$A44&amp;"*",'Diags Raw Data'!$AB$6:$AB$3786))</f>
        <v>0</v>
      </c>
      <c r="R44" s="506">
        <f t="shared" si="3"/>
        <v>0</v>
      </c>
      <c r="S44" s="506">
        <f t="shared" si="4"/>
        <v>0</v>
      </c>
      <c r="T44" s="507">
        <f t="shared" si="5"/>
        <v>0</v>
      </c>
      <c r="U44" s="453" t="s">
        <v>1108</v>
      </c>
      <c r="V44" s="181"/>
    </row>
    <row r="45" spans="1:22" ht="60" x14ac:dyDescent="0.25">
      <c r="A45" s="448" t="s">
        <v>514</v>
      </c>
      <c r="B45" s="449" t="str">
        <f>VLOOKUP(A45,'Feature Raw Data'!$A$3:$B$3986,2,FALSE)</f>
        <v>Feature name - EX-FEAT-039</v>
      </c>
      <c r="C45" s="450" t="str">
        <f>VLOOKUP(A45,'Feature Raw Data'!$A$3:$C$3986,3,FALSE)</f>
        <v>P2</v>
      </c>
      <c r="D45" s="451" t="str" cm="1">
        <f t="array" ref="D45">_xlfn.TEXTJOIN("",TRUE,IF(ISNUMBER(SEARCH($A45,'Diags Raw Data'!$A$6:$A$3786)),CONCATENATE('Diags Raw Data'!$H$6:$H$3786,", "),""))</f>
        <v xml:space="preserve">acpaz11, acpaz12, acpaz13, </v>
      </c>
      <c r="E45" s="342" t="str">
        <f>VLOOKUP(A45,'Diags Raw Data'!$A$6:$D$3786,4,FALSE)</f>
        <v>System memory address translation</v>
      </c>
      <c r="F45" s="342" t="str">
        <f>VLOOKUP(A45,'Feature Raw Data'!$A$3:$E$3986,5,FALSE)</f>
        <v>Legacy</v>
      </c>
      <c r="G45" s="342" t="str">
        <f t="shared" si="6"/>
        <v>Yes</v>
      </c>
      <c r="H45" s="342" t="str">
        <f t="shared" si="7"/>
        <v>Yes</v>
      </c>
      <c r="I45" s="450">
        <f>SUMIF('Diags Raw Data'!$A$6:$A$3786,"*"&amp;$A45&amp;"*",'Diags Raw Data'!$K$6:$K$3786)</f>
        <v>3</v>
      </c>
      <c r="J45" s="452">
        <f>SUMIF('Diags Raw Data'!$A$6:$A$3786,"*"&amp;$A45&amp;"*",'Diags Raw Data'!$L$6:$L$3786)</f>
        <v>3</v>
      </c>
      <c r="K45" s="499" cm="1">
        <f t="array" ref="K45">IF(D45="",0, SUMPRODUCT(--(ISNUMBER(SEARCH($A45,'Diags Raw Data'!$A$6:$A$3786))),'Diags Raw Data'!$L$6:$L$3786,'Diags Raw Data'!$N$6:$N$3786)/J45)</f>
        <v>1</v>
      </c>
      <c r="L45" s="500" cm="1">
        <f t="array" ref="L45">IF(D45="",0, SUMPRODUCT(--(ISNUMBER(SEARCH($A45,'Diags Raw Data'!$A$6:$A$3786))),'Diags Raw Data'!$L$6:$L$3786,'Diags Raw Data'!$P$6:$P$3786)/J45)</f>
        <v>1</v>
      </c>
      <c r="M45" s="501" cm="1">
        <f t="array" ref="M45">SUMPRODUCT(--(ISNUMBER(SEARCH($A45,'Diags Raw Data'!$A$6:$A$3786))),--('Diags Raw Data'!$Q$6:$Q$3786&lt;&gt;"N/A"),'Diags Raw Data'!$R$6:$R$3786)</f>
        <v>3</v>
      </c>
      <c r="N45" s="502" cm="1">
        <f t="array" ref="N45">SUMPRODUCT(--(ISNUMBER(SEARCH($A45,'Diags Raw Data'!$A$6:$A$3786))),--('Diags Raw Data'!$Q$6:$Q$3786&lt;&gt;"N/A"),'Diags Raw Data'!$T$6:$T$3786)+SUMPRODUCT(--(ISNUMBER(SEARCH($A45,'Diags Raw Data'!$A$6:$A$3786))),--('Diags Raw Data'!$Q$6:$Q$3786&lt;&gt;"N/A"),'Diags Raw Data'!$U$6:$U$3786)</f>
        <v>3</v>
      </c>
      <c r="O45" s="503">
        <f t="shared" si="2"/>
        <v>1</v>
      </c>
      <c r="P45" s="504">
        <f>SUMIF('Diags Raw Data'!$A$6:$A$3786,"*"&amp;$A45&amp;"*",'Diags Raw Data'!$Z$6:$Z$3786)</f>
        <v>0</v>
      </c>
      <c r="Q45" s="505">
        <f>SUM(SUMIF('Diags Raw Data'!$A$6:$A$3786,"*"&amp;$A45&amp;"*",'Diags Raw Data'!$AA$6:$AA$3786),SUMIF('Diags Raw Data'!$A$6:$A$3786,"*"&amp;$A45&amp;"*",'Diags Raw Data'!$AB$6:$AB$3786))</f>
        <v>0</v>
      </c>
      <c r="R45" s="506">
        <f t="shared" si="3"/>
        <v>0</v>
      </c>
      <c r="S45" s="506">
        <f t="shared" si="4"/>
        <v>0</v>
      </c>
      <c r="T45" s="507">
        <f t="shared" si="5"/>
        <v>0</v>
      </c>
      <c r="U45" s="453" t="s">
        <v>1111</v>
      </c>
      <c r="V45" s="181"/>
    </row>
    <row r="46" spans="1:22" ht="45" x14ac:dyDescent="0.25">
      <c r="A46" s="448" t="s">
        <v>526</v>
      </c>
      <c r="B46" s="449" t="str">
        <f>VLOOKUP(A46,'Feature Raw Data'!$A$3:$B$3986,2,FALSE)</f>
        <v>Feature name - EX-FEAT-040</v>
      </c>
      <c r="C46" s="450" t="str">
        <f>VLOOKUP(A46,'Feature Raw Data'!$A$3:$C$3986,3,FALSE)</f>
        <v>P2</v>
      </c>
      <c r="D46" s="451" t="str" cm="1">
        <f t="array" ref="D46">_xlfn.TEXTJOIN("",TRUE,IF(ISNUMBER(SEARCH($A46,'Diags Raw Data'!$A$6:$A$3786)),CONCATENATE('Diags Raw Data'!$H$6:$H$3786,", "),""))</f>
        <v xml:space="preserve">acpaz99, </v>
      </c>
      <c r="E46" s="342" t="str">
        <f>VLOOKUP(A46,'Diags Raw Data'!$A$6:$D$3786,4,FALSE)</f>
        <v>Xtensa processing for audio</v>
      </c>
      <c r="F46" s="342" t="str">
        <f>VLOOKUP(A46,'Feature Raw Data'!$A$3:$E$3986,5,FALSE)</f>
        <v>Legacy</v>
      </c>
      <c r="G46" s="342" t="str">
        <f t="shared" si="6"/>
        <v>Yes</v>
      </c>
      <c r="H46" s="342" t="str">
        <f t="shared" si="7"/>
        <v>Yes</v>
      </c>
      <c r="I46" s="450">
        <f>SUMIF('Diags Raw Data'!$A$6:$A$3786,"*"&amp;$A46&amp;"*",'Diags Raw Data'!$K$6:$K$3786)</f>
        <v>1</v>
      </c>
      <c r="J46" s="452">
        <f>SUMIF('Diags Raw Data'!$A$6:$A$3786,"*"&amp;$A46&amp;"*",'Diags Raw Data'!$L$6:$L$3786)</f>
        <v>2</v>
      </c>
      <c r="K46" s="499" cm="1">
        <f t="array" ref="K46">IF(D46="",0, SUMPRODUCT(--(ISNUMBER(SEARCH($A46,'Diags Raw Data'!$A$6:$A$3786))),'Diags Raw Data'!$L$6:$L$3786,'Diags Raw Data'!$N$6:$N$3786)/J46)</f>
        <v>1</v>
      </c>
      <c r="L46" s="500" cm="1">
        <f t="array" ref="L46">IF(D46="",0, SUMPRODUCT(--(ISNUMBER(SEARCH($A46,'Diags Raw Data'!$A$6:$A$3786))),'Diags Raw Data'!$L$6:$L$3786,'Diags Raw Data'!$P$6:$P$3786)/J46)</f>
        <v>1</v>
      </c>
      <c r="M46" s="501" cm="1">
        <f t="array" ref="M46">SUMPRODUCT(--(ISNUMBER(SEARCH($A46,'Diags Raw Data'!$A$6:$A$3786))),--('Diags Raw Data'!$Q$6:$Q$3786&lt;&gt;"N/A"),'Diags Raw Data'!$R$6:$R$3786)</f>
        <v>2</v>
      </c>
      <c r="N46" s="502" cm="1">
        <f t="array" ref="N46">SUMPRODUCT(--(ISNUMBER(SEARCH($A46,'Diags Raw Data'!$A$6:$A$3786))),--('Diags Raw Data'!$Q$6:$Q$3786&lt;&gt;"N/A"),'Diags Raw Data'!$T$6:$T$3786)+SUMPRODUCT(--(ISNUMBER(SEARCH($A46,'Diags Raw Data'!$A$6:$A$3786))),--('Diags Raw Data'!$Q$6:$Q$3786&lt;&gt;"N/A"),'Diags Raw Data'!$U$6:$U$3786)</f>
        <v>2</v>
      </c>
      <c r="O46" s="503">
        <f t="shared" si="2"/>
        <v>1</v>
      </c>
      <c r="P46" s="504">
        <f>SUMIF('Diags Raw Data'!$A$6:$A$3786,"*"&amp;$A46&amp;"*",'Diags Raw Data'!$Z$6:$Z$3786)</f>
        <v>0</v>
      </c>
      <c r="Q46" s="505">
        <f>SUM(SUMIF('Diags Raw Data'!$A$6:$A$3786,"*"&amp;$A46&amp;"*",'Diags Raw Data'!$AA$6:$AA$3786),SUMIF('Diags Raw Data'!$A$6:$A$3786,"*"&amp;$A46&amp;"*",'Diags Raw Data'!$AB$6:$AB$3786))</f>
        <v>0</v>
      </c>
      <c r="R46" s="506">
        <f t="shared" si="3"/>
        <v>0</v>
      </c>
      <c r="S46" s="506">
        <f t="shared" si="4"/>
        <v>0</v>
      </c>
      <c r="T46" s="507">
        <f t="shared" si="5"/>
        <v>0</v>
      </c>
      <c r="U46" s="453" t="s">
        <v>1109</v>
      </c>
      <c r="V46" s="181"/>
    </row>
    <row r="47" spans="1:22" ht="45" x14ac:dyDescent="0.25">
      <c r="A47" s="448" t="s">
        <v>533</v>
      </c>
      <c r="B47" s="449" t="str">
        <f>VLOOKUP(A47,'Feature Raw Data'!$A$3:$B$3986,2,FALSE)</f>
        <v>Feature name - EX-FEAT-041</v>
      </c>
      <c r="C47" s="450" t="str">
        <f>VLOOKUP(A47,'Feature Raw Data'!$A$3:$C$3986,3,FALSE)</f>
        <v>P2</v>
      </c>
      <c r="D47" s="451" t="str" cm="1">
        <f t="array" ref="D47">_xlfn.TEXTJOIN("",TRUE,IF(ISNUMBER(SEARCH($A47,'Diags Raw Data'!$A$6:$A$3786)),CONCATENATE('Diags Raw Data'!$H$6:$H$3786,", "),""))</f>
        <v xml:space="preserve">acpaz99, </v>
      </c>
      <c r="E47" s="342" t="str">
        <f>VLOOKUP(A47,'Diags Raw Data'!$A$6:$D$3786,4,FALSE)</f>
        <v>Xtensa processing for audio</v>
      </c>
      <c r="F47" s="342" t="str">
        <f>VLOOKUP(A47,'Feature Raw Data'!$A$3:$E$3986,5,FALSE)</f>
        <v>Legacy</v>
      </c>
      <c r="G47" s="342" t="str">
        <f t="shared" si="6"/>
        <v>Yes</v>
      </c>
      <c r="H47" s="342" t="str">
        <f t="shared" si="7"/>
        <v>Yes</v>
      </c>
      <c r="I47" s="450">
        <f>SUMIF('Diags Raw Data'!$A$6:$A$3786,"*"&amp;$A47&amp;"*",'Diags Raw Data'!$K$6:$K$3786)</f>
        <v>1</v>
      </c>
      <c r="J47" s="452">
        <f>SUMIF('Diags Raw Data'!$A$6:$A$3786,"*"&amp;$A47&amp;"*",'Diags Raw Data'!$L$6:$L$3786)</f>
        <v>2</v>
      </c>
      <c r="K47" s="499" cm="1">
        <f t="array" ref="K47">IF(D47="",0, SUMPRODUCT(--(ISNUMBER(SEARCH($A47,'Diags Raw Data'!$A$6:$A$3786))),'Diags Raw Data'!$L$6:$L$3786,'Diags Raw Data'!$N$6:$N$3786)/J47)</f>
        <v>1</v>
      </c>
      <c r="L47" s="500" cm="1">
        <f t="array" ref="L47">IF(D47="",0, SUMPRODUCT(--(ISNUMBER(SEARCH($A47,'Diags Raw Data'!$A$6:$A$3786))),'Diags Raw Data'!$L$6:$L$3786,'Diags Raw Data'!$P$6:$P$3786)/J47)</f>
        <v>1</v>
      </c>
      <c r="M47" s="501" cm="1">
        <f t="array" ref="M47">SUMPRODUCT(--(ISNUMBER(SEARCH($A47,'Diags Raw Data'!$A$6:$A$3786))),--('Diags Raw Data'!$Q$6:$Q$3786&lt;&gt;"N/A"),'Diags Raw Data'!$R$6:$R$3786)</f>
        <v>2</v>
      </c>
      <c r="N47" s="502" cm="1">
        <f t="array" ref="N47">SUMPRODUCT(--(ISNUMBER(SEARCH($A47,'Diags Raw Data'!$A$6:$A$3786))),--('Diags Raw Data'!$Q$6:$Q$3786&lt;&gt;"N/A"),'Diags Raw Data'!$T$6:$T$3786)+SUMPRODUCT(--(ISNUMBER(SEARCH($A47,'Diags Raw Data'!$A$6:$A$3786))),--('Diags Raw Data'!$Q$6:$Q$3786&lt;&gt;"N/A"),'Diags Raw Data'!$U$6:$U$3786)</f>
        <v>2</v>
      </c>
      <c r="O47" s="503">
        <f t="shared" si="2"/>
        <v>1</v>
      </c>
      <c r="P47" s="504">
        <f>SUMIF('Diags Raw Data'!$A$6:$A$3786,"*"&amp;$A47&amp;"*",'Diags Raw Data'!$Z$6:$Z$3786)</f>
        <v>0</v>
      </c>
      <c r="Q47" s="505">
        <f>SUM(SUMIF('Diags Raw Data'!$A$6:$A$3786,"*"&amp;$A47&amp;"*",'Diags Raw Data'!$AA$6:$AA$3786),SUMIF('Diags Raw Data'!$A$6:$A$3786,"*"&amp;$A47&amp;"*",'Diags Raw Data'!$AB$6:$AB$3786))</f>
        <v>0</v>
      </c>
      <c r="R47" s="506">
        <f t="shared" si="3"/>
        <v>0</v>
      </c>
      <c r="S47" s="506">
        <f t="shared" si="4"/>
        <v>0</v>
      </c>
      <c r="T47" s="507">
        <f t="shared" si="5"/>
        <v>0</v>
      </c>
      <c r="U47" s="453" t="s">
        <v>1108</v>
      </c>
      <c r="V47" s="181"/>
    </row>
    <row r="48" spans="1:22" ht="45" x14ac:dyDescent="0.25">
      <c r="A48" s="448" t="s">
        <v>535</v>
      </c>
      <c r="B48" s="449" t="str">
        <f>VLOOKUP(A48,'Feature Raw Data'!$A$3:$B$3986,2,FALSE)</f>
        <v>Feature name - EX-FEAT-042</v>
      </c>
      <c r="C48" s="450" t="str">
        <f>VLOOKUP(A48,'Feature Raw Data'!$A$3:$C$3986,3,FALSE)</f>
        <v>P2</v>
      </c>
      <c r="D48" s="451" t="str" cm="1">
        <f t="array" ref="D48">_xlfn.TEXTJOIN("",TRUE,IF(ISNUMBER(SEARCH($A48,'Diags Raw Data'!$A$6:$A$3786)),CONCATENATE('Diags Raw Data'!$H$6:$H$3786,", "),""))</f>
        <v xml:space="preserve">acpaz20.1-7, </v>
      </c>
      <c r="E48" s="342" t="str">
        <f>VLOOKUP(A48,'Diags Raw Data'!$A$6:$D$3786,4,FALSE)</f>
        <v>Xtensa processing for audio</v>
      </c>
      <c r="F48" s="342" t="str">
        <f>VLOOKUP(A48,'Feature Raw Data'!$A$3:$E$3986,5,FALSE)</f>
        <v>Legacy</v>
      </c>
      <c r="G48" s="342" t="str">
        <f t="shared" si="6"/>
        <v>Yes</v>
      </c>
      <c r="H48" s="342" t="str">
        <f t="shared" si="7"/>
        <v>Yes</v>
      </c>
      <c r="I48" s="450">
        <f>SUMIF('Diags Raw Data'!$A$6:$A$3786,"*"&amp;$A48&amp;"*",'Diags Raw Data'!$K$6:$K$3786)</f>
        <v>1</v>
      </c>
      <c r="J48" s="452">
        <f>SUMIF('Diags Raw Data'!$A$6:$A$3786,"*"&amp;$A48&amp;"*",'Diags Raw Data'!$L$6:$L$3786)</f>
        <v>2</v>
      </c>
      <c r="K48" s="499" cm="1">
        <f t="array" ref="K48">IF(D48="",0, SUMPRODUCT(--(ISNUMBER(SEARCH($A48,'Diags Raw Data'!$A$6:$A$3786))),'Diags Raw Data'!$L$6:$L$3786,'Diags Raw Data'!$N$6:$N$3786)/J48)</f>
        <v>1</v>
      </c>
      <c r="L48" s="500" cm="1">
        <f t="array" ref="L48">IF(D48="",0, SUMPRODUCT(--(ISNUMBER(SEARCH($A48,'Diags Raw Data'!$A$6:$A$3786))),'Diags Raw Data'!$L$6:$L$3786,'Diags Raw Data'!$P$6:$P$3786)/J48)</f>
        <v>1</v>
      </c>
      <c r="M48" s="501" cm="1">
        <f t="array" ref="M48">SUMPRODUCT(--(ISNUMBER(SEARCH($A48,'Diags Raw Data'!$A$6:$A$3786))),--('Diags Raw Data'!$Q$6:$Q$3786&lt;&gt;"N/A"),'Diags Raw Data'!$R$6:$R$3786)</f>
        <v>2</v>
      </c>
      <c r="N48" s="502" cm="1">
        <f t="array" ref="N48">SUMPRODUCT(--(ISNUMBER(SEARCH($A48,'Diags Raw Data'!$A$6:$A$3786))),--('Diags Raw Data'!$Q$6:$Q$3786&lt;&gt;"N/A"),'Diags Raw Data'!$T$6:$T$3786)+SUMPRODUCT(--(ISNUMBER(SEARCH($A48,'Diags Raw Data'!$A$6:$A$3786))),--('Diags Raw Data'!$Q$6:$Q$3786&lt;&gt;"N/A"),'Diags Raw Data'!$U$6:$U$3786)</f>
        <v>2</v>
      </c>
      <c r="O48" s="503">
        <f t="shared" si="2"/>
        <v>1</v>
      </c>
      <c r="P48" s="504">
        <f>SUMIF('Diags Raw Data'!$A$6:$A$3786,"*"&amp;$A48&amp;"*",'Diags Raw Data'!$Z$6:$Z$3786)</f>
        <v>0</v>
      </c>
      <c r="Q48" s="505">
        <f>SUM(SUMIF('Diags Raw Data'!$A$6:$A$3786,"*"&amp;$A48&amp;"*",'Diags Raw Data'!$AA$6:$AA$3786),SUMIF('Diags Raw Data'!$A$6:$A$3786,"*"&amp;$A48&amp;"*",'Diags Raw Data'!$AB$6:$AB$3786))</f>
        <v>0</v>
      </c>
      <c r="R48" s="506">
        <f t="shared" si="3"/>
        <v>0</v>
      </c>
      <c r="S48" s="506">
        <f t="shared" si="4"/>
        <v>0</v>
      </c>
      <c r="T48" s="507">
        <f t="shared" si="5"/>
        <v>0</v>
      </c>
      <c r="U48" s="453" t="s">
        <v>1108</v>
      </c>
      <c r="V48" s="181"/>
    </row>
    <row r="49" spans="1:22" ht="45" x14ac:dyDescent="0.25">
      <c r="A49" s="448" t="s">
        <v>538</v>
      </c>
      <c r="B49" s="449" t="str">
        <f>VLOOKUP(A49,'Feature Raw Data'!$A$3:$B$3986,2,FALSE)</f>
        <v>Feature name - EX-FEAT-043</v>
      </c>
      <c r="C49" s="450" t="str">
        <f>VLOOKUP(A49,'Feature Raw Data'!$A$3:$C$3986,3,FALSE)</f>
        <v>P2</v>
      </c>
      <c r="D49" s="451" t="str" cm="1">
        <f t="array" ref="D49">_xlfn.TEXTJOIN("",TRUE,IF(ISNUMBER(SEARCH($A49,'Diags Raw Data'!$A$6:$A$3786)),CONCATENATE('Diags Raw Data'!$H$6:$H$3786,", "),""))</f>
        <v xml:space="preserve">acpaz21.1-7, </v>
      </c>
      <c r="E49" s="342" t="str">
        <f>VLOOKUP(A49,'Diags Raw Data'!$A$6:$D$3786,4,FALSE)</f>
        <v>Xtensa processing for audio</v>
      </c>
      <c r="F49" s="342" t="str">
        <f>VLOOKUP(A49,'Feature Raw Data'!$A$3:$E$3986,5,FALSE)</f>
        <v>Legacy</v>
      </c>
      <c r="G49" s="342" t="str">
        <f t="shared" si="6"/>
        <v>Yes</v>
      </c>
      <c r="H49" s="342" t="str">
        <f t="shared" si="7"/>
        <v>Yes</v>
      </c>
      <c r="I49" s="450">
        <f>SUMIF('Diags Raw Data'!$A$6:$A$3786,"*"&amp;$A49&amp;"*",'Diags Raw Data'!$K$6:$K$3786)</f>
        <v>1</v>
      </c>
      <c r="J49" s="452">
        <f>SUMIF('Diags Raw Data'!$A$6:$A$3786,"*"&amp;$A49&amp;"*",'Diags Raw Data'!$L$6:$L$3786)</f>
        <v>14</v>
      </c>
      <c r="K49" s="499" cm="1">
        <f t="array" ref="K49">IF(D49="",0, SUMPRODUCT(--(ISNUMBER(SEARCH($A49,'Diags Raw Data'!$A$6:$A$3786))),'Diags Raw Data'!$L$6:$L$3786,'Diags Raw Data'!$N$6:$N$3786)/J49)</f>
        <v>1</v>
      </c>
      <c r="L49" s="500" cm="1">
        <f t="array" ref="L49">IF(D49="",0, SUMPRODUCT(--(ISNUMBER(SEARCH($A49,'Diags Raw Data'!$A$6:$A$3786))),'Diags Raw Data'!$L$6:$L$3786,'Diags Raw Data'!$P$6:$P$3786)/J49)</f>
        <v>1</v>
      </c>
      <c r="M49" s="501" cm="1">
        <f t="array" ref="M49">SUMPRODUCT(--(ISNUMBER(SEARCH($A49,'Diags Raw Data'!$A$6:$A$3786))),--('Diags Raw Data'!$Q$6:$Q$3786&lt;&gt;"N/A"),'Diags Raw Data'!$R$6:$R$3786)</f>
        <v>14</v>
      </c>
      <c r="N49" s="502" cm="1">
        <f t="array" ref="N49">SUMPRODUCT(--(ISNUMBER(SEARCH($A49,'Diags Raw Data'!$A$6:$A$3786))),--('Diags Raw Data'!$Q$6:$Q$3786&lt;&gt;"N/A"),'Diags Raw Data'!$T$6:$T$3786)+SUMPRODUCT(--(ISNUMBER(SEARCH($A49,'Diags Raw Data'!$A$6:$A$3786))),--('Diags Raw Data'!$Q$6:$Q$3786&lt;&gt;"N/A"),'Diags Raw Data'!$U$6:$U$3786)</f>
        <v>14</v>
      </c>
      <c r="O49" s="503">
        <f t="shared" si="2"/>
        <v>1</v>
      </c>
      <c r="P49" s="504">
        <f>SUMIF('Diags Raw Data'!$A$6:$A$3786,"*"&amp;$A49&amp;"*",'Diags Raw Data'!$Z$6:$Z$3786)</f>
        <v>0</v>
      </c>
      <c r="Q49" s="505">
        <f>SUM(SUMIF('Diags Raw Data'!$A$6:$A$3786,"*"&amp;$A49&amp;"*",'Diags Raw Data'!$AA$6:$AA$3786),SUMIF('Diags Raw Data'!$A$6:$A$3786,"*"&amp;$A49&amp;"*",'Diags Raw Data'!$AB$6:$AB$3786))</f>
        <v>0</v>
      </c>
      <c r="R49" s="506">
        <f t="shared" si="3"/>
        <v>0</v>
      </c>
      <c r="S49" s="506">
        <f t="shared" si="4"/>
        <v>0</v>
      </c>
      <c r="T49" s="507">
        <f t="shared" si="5"/>
        <v>0</v>
      </c>
      <c r="U49" s="453" t="s">
        <v>286</v>
      </c>
      <c r="V49" s="181"/>
    </row>
    <row r="50" spans="1:22" ht="45" x14ac:dyDescent="0.25">
      <c r="A50" s="448" t="s">
        <v>544</v>
      </c>
      <c r="B50" s="449" t="str">
        <f>VLOOKUP(A50,'Feature Raw Data'!$A$3:$B$3986,2,FALSE)</f>
        <v>Feature name - EX-FEAT-044</v>
      </c>
      <c r="C50" s="450" t="str">
        <f>VLOOKUP(A50,'Feature Raw Data'!$A$3:$C$3986,3,FALSE)</f>
        <v>P2</v>
      </c>
      <c r="D50" s="451" t="str" cm="1">
        <f t="array" ref="D50">_xlfn.TEXTJOIN("",TRUE,IF(ISNUMBER(SEARCH($A50,'Diags Raw Data'!$A$6:$A$3786)),CONCATENATE('Diags Raw Data'!$H$6:$H$3786,", "),""))</f>
        <v xml:space="preserve">acpaz21.1-7, </v>
      </c>
      <c r="E50" s="342" t="str">
        <f>VLOOKUP(A50,'Diags Raw Data'!$A$6:$D$3786,4,FALSE)</f>
        <v>Xtensa processing for audio</v>
      </c>
      <c r="F50" s="342" t="str">
        <f>VLOOKUP(A50,'Feature Raw Data'!$A$3:$E$3986,5,FALSE)</f>
        <v>Legacy</v>
      </c>
      <c r="G50" s="342" t="str">
        <f t="shared" si="6"/>
        <v>Yes</v>
      </c>
      <c r="H50" s="342" t="str">
        <f t="shared" si="7"/>
        <v>Yes</v>
      </c>
      <c r="I50" s="450">
        <f>SUMIF('Diags Raw Data'!$A$6:$A$3786,"*"&amp;$A50&amp;"*",'Diags Raw Data'!$K$6:$K$3786)</f>
        <v>1</v>
      </c>
      <c r="J50" s="452">
        <f>SUMIF('Diags Raw Data'!$A$6:$A$3786,"*"&amp;$A50&amp;"*",'Diags Raw Data'!$L$6:$L$3786)</f>
        <v>14</v>
      </c>
      <c r="K50" s="499" cm="1">
        <f t="array" ref="K50">IF(D50="",0, SUMPRODUCT(--(ISNUMBER(SEARCH($A50,'Diags Raw Data'!$A$6:$A$3786))),'Diags Raw Data'!$L$6:$L$3786,'Diags Raw Data'!$N$6:$N$3786)/J50)</f>
        <v>1</v>
      </c>
      <c r="L50" s="500" cm="1">
        <f t="array" ref="L50">IF(D50="",0, SUMPRODUCT(--(ISNUMBER(SEARCH($A50,'Diags Raw Data'!$A$6:$A$3786))),'Diags Raw Data'!$L$6:$L$3786,'Diags Raw Data'!$P$6:$P$3786)/J50)</f>
        <v>1</v>
      </c>
      <c r="M50" s="501" cm="1">
        <f t="array" ref="M50">SUMPRODUCT(--(ISNUMBER(SEARCH($A50,'Diags Raw Data'!$A$6:$A$3786))),--('Diags Raw Data'!$Q$6:$Q$3786&lt;&gt;"N/A"),'Diags Raw Data'!$R$6:$R$3786)</f>
        <v>14</v>
      </c>
      <c r="N50" s="502" cm="1">
        <f t="array" ref="N50">SUMPRODUCT(--(ISNUMBER(SEARCH($A50,'Diags Raw Data'!$A$6:$A$3786))),--('Diags Raw Data'!$Q$6:$Q$3786&lt;&gt;"N/A"),'Diags Raw Data'!$T$6:$T$3786)+SUMPRODUCT(--(ISNUMBER(SEARCH($A50,'Diags Raw Data'!$A$6:$A$3786))),--('Diags Raw Data'!$Q$6:$Q$3786&lt;&gt;"N/A"),'Diags Raw Data'!$U$6:$U$3786)</f>
        <v>14</v>
      </c>
      <c r="O50" s="503">
        <f t="shared" si="2"/>
        <v>1</v>
      </c>
      <c r="P50" s="504">
        <f>SUMIF('Diags Raw Data'!$A$6:$A$3786,"*"&amp;$A50&amp;"*",'Diags Raw Data'!$Z$6:$Z$3786)</f>
        <v>0</v>
      </c>
      <c r="Q50" s="505">
        <f>SUM(SUMIF('Diags Raw Data'!$A$6:$A$3786,"*"&amp;$A50&amp;"*",'Diags Raw Data'!$AA$6:$AA$3786),SUMIF('Diags Raw Data'!$A$6:$A$3786,"*"&amp;$A50&amp;"*",'Diags Raw Data'!$AB$6:$AB$3786))</f>
        <v>0</v>
      </c>
      <c r="R50" s="506">
        <f t="shared" si="3"/>
        <v>0</v>
      </c>
      <c r="S50" s="506">
        <f t="shared" si="4"/>
        <v>0</v>
      </c>
      <c r="T50" s="507">
        <f t="shared" si="5"/>
        <v>0</v>
      </c>
      <c r="U50" s="453" t="s">
        <v>1111</v>
      </c>
      <c r="V50" s="181"/>
    </row>
    <row r="51" spans="1:22" ht="45" x14ac:dyDescent="0.25">
      <c r="A51" s="448" t="s">
        <v>547</v>
      </c>
      <c r="B51" s="449" t="str">
        <f>VLOOKUP(A51,'Feature Raw Data'!$A$3:$B$3986,2,FALSE)</f>
        <v>Feature name - EX-FEAT-045</v>
      </c>
      <c r="C51" s="450" t="str">
        <f>VLOOKUP(A51,'Feature Raw Data'!$A$3:$C$3986,3,FALSE)</f>
        <v>P2</v>
      </c>
      <c r="D51" s="451" t="str" cm="1">
        <f t="array" ref="D51">_xlfn.TEXTJOIN("",TRUE,IF(ISNUMBER(SEARCH($A51,'Diags Raw Data'!$A$6:$A$3786)),CONCATENATE('Diags Raw Data'!$H$6:$H$3786,", "),""))</f>
        <v xml:space="preserve">acpaz18.1-3, </v>
      </c>
      <c r="E51" s="342" t="str">
        <f>VLOOKUP(A51,'Diags Raw Data'!$A$6:$D$3786,4,FALSE)</f>
        <v>Xtensa processing for audio</v>
      </c>
      <c r="F51" s="342" t="str">
        <f>VLOOKUP(A51,'Feature Raw Data'!$A$3:$E$3986,5,FALSE)</f>
        <v>Legacy</v>
      </c>
      <c r="G51" s="342" t="str">
        <f t="shared" si="6"/>
        <v>Yes</v>
      </c>
      <c r="H51" s="342" t="str">
        <f t="shared" si="7"/>
        <v>Yes</v>
      </c>
      <c r="I51" s="450">
        <f>SUMIF('Diags Raw Data'!$A$6:$A$3786,"*"&amp;$A51&amp;"*",'Diags Raw Data'!$K$6:$K$3786)</f>
        <v>1</v>
      </c>
      <c r="J51" s="452">
        <f>SUMIF('Diags Raw Data'!$A$6:$A$3786,"*"&amp;$A51&amp;"*",'Diags Raw Data'!$L$6:$L$3786)</f>
        <v>6</v>
      </c>
      <c r="K51" s="499" cm="1">
        <f t="array" ref="K51">IF(D51="",0, SUMPRODUCT(--(ISNUMBER(SEARCH($A51,'Diags Raw Data'!$A$6:$A$3786))),'Diags Raw Data'!$L$6:$L$3786,'Diags Raw Data'!$N$6:$N$3786)/J51)</f>
        <v>1</v>
      </c>
      <c r="L51" s="500" cm="1">
        <f t="array" ref="L51">IF(D51="",0, SUMPRODUCT(--(ISNUMBER(SEARCH($A51,'Diags Raw Data'!$A$6:$A$3786))),'Diags Raw Data'!$L$6:$L$3786,'Diags Raw Data'!$P$6:$P$3786)/J51)</f>
        <v>1</v>
      </c>
      <c r="M51" s="501" cm="1">
        <f t="array" ref="M51">SUMPRODUCT(--(ISNUMBER(SEARCH($A51,'Diags Raw Data'!$A$6:$A$3786))),--('Diags Raw Data'!$Q$6:$Q$3786&lt;&gt;"N/A"),'Diags Raw Data'!$R$6:$R$3786)</f>
        <v>6</v>
      </c>
      <c r="N51" s="502" cm="1">
        <f t="array" ref="N51">SUMPRODUCT(--(ISNUMBER(SEARCH($A51,'Diags Raw Data'!$A$6:$A$3786))),--('Diags Raw Data'!$Q$6:$Q$3786&lt;&gt;"N/A"),'Diags Raw Data'!$T$6:$T$3786)+SUMPRODUCT(--(ISNUMBER(SEARCH($A51,'Diags Raw Data'!$A$6:$A$3786))),--('Diags Raw Data'!$Q$6:$Q$3786&lt;&gt;"N/A"),'Diags Raw Data'!$U$6:$U$3786)</f>
        <v>6</v>
      </c>
      <c r="O51" s="503">
        <f t="shared" si="2"/>
        <v>1</v>
      </c>
      <c r="P51" s="504">
        <f>SUMIF('Diags Raw Data'!$A$6:$A$3786,"*"&amp;$A51&amp;"*",'Diags Raw Data'!$Z$6:$Z$3786)</f>
        <v>0</v>
      </c>
      <c r="Q51" s="505">
        <f>SUM(SUMIF('Diags Raw Data'!$A$6:$A$3786,"*"&amp;$A51&amp;"*",'Diags Raw Data'!$AA$6:$AA$3786),SUMIF('Diags Raw Data'!$A$6:$A$3786,"*"&amp;$A51&amp;"*",'Diags Raw Data'!$AB$6:$AB$3786))</f>
        <v>0</v>
      </c>
      <c r="R51" s="506">
        <f t="shared" si="3"/>
        <v>0</v>
      </c>
      <c r="S51" s="506">
        <f t="shared" si="4"/>
        <v>0</v>
      </c>
      <c r="T51" s="507">
        <f t="shared" si="5"/>
        <v>0</v>
      </c>
      <c r="U51" s="453" t="s">
        <v>47</v>
      </c>
      <c r="V51" s="181"/>
    </row>
    <row r="52" spans="1:22" ht="45" x14ac:dyDescent="0.25">
      <c r="A52" s="448" t="s">
        <v>552</v>
      </c>
      <c r="B52" s="449" t="str">
        <f>VLOOKUP(A52,'Feature Raw Data'!$A$3:$B$3986,2,FALSE)</f>
        <v>Feature name - EX-FEAT-046</v>
      </c>
      <c r="C52" s="450" t="str">
        <f>VLOOKUP(A52,'Feature Raw Data'!$A$3:$C$3986,3,FALSE)</f>
        <v>P2</v>
      </c>
      <c r="D52" s="451" t="str" cm="1">
        <f t="array" ref="D52">_xlfn.TEXTJOIN("",TRUE,IF(ISNUMBER(SEARCH($A52,'Diags Raw Data'!$A$6:$A$3786)),CONCATENATE('Diags Raw Data'!$H$6:$H$3786,", "),""))</f>
        <v xml:space="preserve">acpaz19.1-3, </v>
      </c>
      <c r="E52" s="342" t="str">
        <f>VLOOKUP(A52,'Diags Raw Data'!$A$6:$D$3786,4,FALSE)</f>
        <v>Xtensa processing for audio</v>
      </c>
      <c r="F52" s="342" t="str">
        <f>VLOOKUP(A52,'Feature Raw Data'!$A$3:$E$3986,5,FALSE)</f>
        <v>Legacy</v>
      </c>
      <c r="G52" s="342" t="str">
        <f t="shared" si="6"/>
        <v>Yes</v>
      </c>
      <c r="H52" s="342" t="str">
        <f t="shared" si="7"/>
        <v>Yes</v>
      </c>
      <c r="I52" s="450">
        <f>SUMIF('Diags Raw Data'!$A$6:$A$3786,"*"&amp;$A52&amp;"*",'Diags Raw Data'!$K$6:$K$3786)</f>
        <v>1</v>
      </c>
      <c r="J52" s="452">
        <f>SUMIF('Diags Raw Data'!$A$6:$A$3786,"*"&amp;$A52&amp;"*",'Diags Raw Data'!$L$6:$L$3786)</f>
        <v>6</v>
      </c>
      <c r="K52" s="499" cm="1">
        <f t="array" ref="K52">IF(D52="",0, SUMPRODUCT(--(ISNUMBER(SEARCH($A52,'Diags Raw Data'!$A$6:$A$3786))),'Diags Raw Data'!$L$6:$L$3786,'Diags Raw Data'!$N$6:$N$3786)/J52)</f>
        <v>1</v>
      </c>
      <c r="L52" s="500" cm="1">
        <f t="array" ref="L52">IF(D52="",0, SUMPRODUCT(--(ISNUMBER(SEARCH($A52,'Diags Raw Data'!$A$6:$A$3786))),'Diags Raw Data'!$L$6:$L$3786,'Diags Raw Data'!$P$6:$P$3786)/J52)</f>
        <v>1</v>
      </c>
      <c r="M52" s="501" cm="1">
        <f t="array" ref="M52">SUMPRODUCT(--(ISNUMBER(SEARCH($A52,'Diags Raw Data'!$A$6:$A$3786))),--('Diags Raw Data'!$Q$6:$Q$3786&lt;&gt;"N/A"),'Diags Raw Data'!$R$6:$R$3786)</f>
        <v>6</v>
      </c>
      <c r="N52" s="502" cm="1">
        <f t="array" ref="N52">SUMPRODUCT(--(ISNUMBER(SEARCH($A52,'Diags Raw Data'!$A$6:$A$3786))),--('Diags Raw Data'!$Q$6:$Q$3786&lt;&gt;"N/A"),'Diags Raw Data'!$T$6:$T$3786)+SUMPRODUCT(--(ISNUMBER(SEARCH($A52,'Diags Raw Data'!$A$6:$A$3786))),--('Diags Raw Data'!$Q$6:$Q$3786&lt;&gt;"N/A"),'Diags Raw Data'!$U$6:$U$3786)</f>
        <v>6</v>
      </c>
      <c r="O52" s="503">
        <f t="shared" si="2"/>
        <v>1</v>
      </c>
      <c r="P52" s="504">
        <f>SUMIF('Diags Raw Data'!$A$6:$A$3786,"*"&amp;$A52&amp;"*",'Diags Raw Data'!$Z$6:$Z$3786)</f>
        <v>0</v>
      </c>
      <c r="Q52" s="505">
        <f>SUM(SUMIF('Diags Raw Data'!$A$6:$A$3786,"*"&amp;$A52&amp;"*",'Diags Raw Data'!$AA$6:$AA$3786),SUMIF('Diags Raw Data'!$A$6:$A$3786,"*"&amp;$A52&amp;"*",'Diags Raw Data'!$AB$6:$AB$3786))</f>
        <v>0</v>
      </c>
      <c r="R52" s="506">
        <f t="shared" si="3"/>
        <v>0</v>
      </c>
      <c r="S52" s="506">
        <f t="shared" si="4"/>
        <v>0</v>
      </c>
      <c r="T52" s="507">
        <f t="shared" si="5"/>
        <v>0</v>
      </c>
      <c r="U52" s="453" t="s">
        <v>1109</v>
      </c>
      <c r="V52" s="181"/>
    </row>
    <row r="53" spans="1:22" ht="45" x14ac:dyDescent="0.25">
      <c r="A53" s="448" t="s">
        <v>558</v>
      </c>
      <c r="B53" s="449" t="str">
        <f>VLOOKUP(A53,'Feature Raw Data'!$A$3:$B$3986,2,FALSE)</f>
        <v>Feature name - EX-FEAT-047</v>
      </c>
      <c r="C53" s="450" t="str">
        <f>VLOOKUP(A53,'Feature Raw Data'!$A$3:$C$3986,3,FALSE)</f>
        <v>P2</v>
      </c>
      <c r="D53" s="451" t="str" cm="1">
        <f t="array" ref="D53">_xlfn.TEXTJOIN("",TRUE,IF(ISNUMBER(SEARCH($A53,'Diags Raw Data'!$A$6:$A$3786)),CONCATENATE('Diags Raw Data'!$H$6:$H$3786,", "),""))</f>
        <v xml:space="preserve">acpaz99, acpaz101, </v>
      </c>
      <c r="E53" s="342" t="str">
        <f>VLOOKUP(A53,'Diags Raw Data'!$A$6:$D$3786,4,FALSE)</f>
        <v>Xtensa processing for audio</v>
      </c>
      <c r="F53" s="342" t="str">
        <f>VLOOKUP(A53,'Feature Raw Data'!$A$3:$E$3986,5,FALSE)</f>
        <v>Legacy</v>
      </c>
      <c r="G53" s="342" t="str">
        <f t="shared" si="6"/>
        <v>Yes</v>
      </c>
      <c r="H53" s="342" t="str">
        <f t="shared" si="7"/>
        <v>Yes</v>
      </c>
      <c r="I53" s="450">
        <f>SUMIF('Diags Raw Data'!$A$6:$A$3786,"*"&amp;$A53&amp;"*",'Diags Raw Data'!$K$6:$K$3786)</f>
        <v>2</v>
      </c>
      <c r="J53" s="452">
        <f>SUMIF('Diags Raw Data'!$A$6:$A$3786,"*"&amp;$A53&amp;"*",'Diags Raw Data'!$L$6:$L$3786)</f>
        <v>22</v>
      </c>
      <c r="K53" s="499" cm="1">
        <f t="array" ref="K53">IF(D53="",0, SUMPRODUCT(--(ISNUMBER(SEARCH($A53,'Diags Raw Data'!$A$6:$A$3786))),'Diags Raw Data'!$L$6:$L$3786,'Diags Raw Data'!$N$6:$N$3786)/J53)</f>
        <v>1</v>
      </c>
      <c r="L53" s="500" cm="1">
        <f t="array" ref="L53">IF(D53="",0, SUMPRODUCT(--(ISNUMBER(SEARCH($A53,'Diags Raw Data'!$A$6:$A$3786))),'Diags Raw Data'!$L$6:$L$3786,'Diags Raw Data'!$P$6:$P$3786)/J53)</f>
        <v>1</v>
      </c>
      <c r="M53" s="501" cm="1">
        <f t="array" ref="M53">SUMPRODUCT(--(ISNUMBER(SEARCH($A53,'Diags Raw Data'!$A$6:$A$3786))),--('Diags Raw Data'!$Q$6:$Q$3786&lt;&gt;"N/A"),'Diags Raw Data'!$R$6:$R$3786)</f>
        <v>22</v>
      </c>
      <c r="N53" s="502" cm="1">
        <f t="array" ref="N53">SUMPRODUCT(--(ISNUMBER(SEARCH($A53,'Diags Raw Data'!$A$6:$A$3786))),--('Diags Raw Data'!$Q$6:$Q$3786&lt;&gt;"N/A"),'Diags Raw Data'!$T$6:$T$3786)+SUMPRODUCT(--(ISNUMBER(SEARCH($A53,'Diags Raw Data'!$A$6:$A$3786))),--('Diags Raw Data'!$Q$6:$Q$3786&lt;&gt;"N/A"),'Diags Raw Data'!$U$6:$U$3786)</f>
        <v>22</v>
      </c>
      <c r="O53" s="503">
        <f t="shared" si="2"/>
        <v>1</v>
      </c>
      <c r="P53" s="504">
        <f>SUMIF('Diags Raw Data'!$A$6:$A$3786,"*"&amp;$A53&amp;"*",'Diags Raw Data'!$Z$6:$Z$3786)</f>
        <v>0</v>
      </c>
      <c r="Q53" s="505">
        <f>SUM(SUMIF('Diags Raw Data'!$A$6:$A$3786,"*"&amp;$A53&amp;"*",'Diags Raw Data'!$AA$6:$AA$3786),SUMIF('Diags Raw Data'!$A$6:$A$3786,"*"&amp;$A53&amp;"*",'Diags Raw Data'!$AB$6:$AB$3786))</f>
        <v>0</v>
      </c>
      <c r="R53" s="506">
        <f t="shared" si="3"/>
        <v>0</v>
      </c>
      <c r="S53" s="506">
        <f t="shared" si="4"/>
        <v>0</v>
      </c>
      <c r="T53" s="507">
        <f t="shared" si="5"/>
        <v>0</v>
      </c>
      <c r="U53" s="453" t="s">
        <v>1109</v>
      </c>
      <c r="V53" s="181"/>
    </row>
    <row r="54" spans="1:22" ht="45" x14ac:dyDescent="0.25">
      <c r="A54" s="448" t="s">
        <v>567</v>
      </c>
      <c r="B54" s="449" t="str">
        <f>VLOOKUP(A54,'Feature Raw Data'!$A$3:$B$3986,2,FALSE)</f>
        <v>Feature name - EX-FEAT-048</v>
      </c>
      <c r="C54" s="450" t="str">
        <f>VLOOKUP(A54,'Feature Raw Data'!$A$3:$C$3986,3,FALSE)</f>
        <v>P2</v>
      </c>
      <c r="D54" s="451" t="str" cm="1">
        <f t="array" ref="D54">_xlfn.TEXTJOIN("",TRUE,IF(ISNUMBER(SEARCH($A54,'Diags Raw Data'!$A$6:$A$3786)),CONCATENATE('Diags Raw Data'!$H$6:$H$3786,", "),""))</f>
        <v xml:space="preserve">Manual, </v>
      </c>
      <c r="E54" s="342" t="str">
        <f>VLOOKUP(A54,'Diags Raw Data'!$A$6:$D$3786,4,FALSE)</f>
        <v>Xtensa processing for audio</v>
      </c>
      <c r="F54" s="342" t="str">
        <f>VLOOKUP(A54,'Feature Raw Data'!$A$3:$E$3986,5,FALSE)</f>
        <v>Legacy</v>
      </c>
      <c r="G54" s="342" t="str">
        <f t="shared" si="6"/>
        <v>Yes</v>
      </c>
      <c r="H54" s="342" t="str">
        <f t="shared" si="7"/>
        <v>Yes</v>
      </c>
      <c r="I54" s="450">
        <f>SUMIF('Diags Raw Data'!$A$6:$A$3786,"*"&amp;$A54&amp;"*",'Diags Raw Data'!$K$6:$K$3786)</f>
        <v>1</v>
      </c>
      <c r="J54" s="452">
        <f>SUMIF('Diags Raw Data'!$A$6:$A$3786,"*"&amp;$A54&amp;"*",'Diags Raw Data'!$L$6:$L$3786)</f>
        <v>1</v>
      </c>
      <c r="K54" s="499" cm="1">
        <f t="array" ref="K54">IF(D54="",0, SUMPRODUCT(--(ISNUMBER(SEARCH($A54,'Diags Raw Data'!$A$6:$A$3786))),'Diags Raw Data'!$L$6:$L$3786,'Diags Raw Data'!$N$6:$N$3786)/J54)</f>
        <v>1</v>
      </c>
      <c r="L54" s="500" cm="1">
        <f t="array" ref="L54">IF(D54="",0, SUMPRODUCT(--(ISNUMBER(SEARCH($A54,'Diags Raw Data'!$A$6:$A$3786))),'Diags Raw Data'!$L$6:$L$3786,'Diags Raw Data'!$P$6:$P$3786)/J54)</f>
        <v>1</v>
      </c>
      <c r="M54" s="501" cm="1">
        <f t="array" ref="M54">SUMPRODUCT(--(ISNUMBER(SEARCH($A54,'Diags Raw Data'!$A$6:$A$3786))),--('Diags Raw Data'!$Q$6:$Q$3786&lt;&gt;"N/A"),'Diags Raw Data'!$R$6:$R$3786)</f>
        <v>1</v>
      </c>
      <c r="N54" s="502" cm="1">
        <f t="array" ref="N54">SUMPRODUCT(--(ISNUMBER(SEARCH($A54,'Diags Raw Data'!$A$6:$A$3786))),--('Diags Raw Data'!$Q$6:$Q$3786&lt;&gt;"N/A"),'Diags Raw Data'!$T$6:$T$3786)+SUMPRODUCT(--(ISNUMBER(SEARCH($A54,'Diags Raw Data'!$A$6:$A$3786))),--('Diags Raw Data'!$Q$6:$Q$3786&lt;&gt;"N/A"),'Diags Raw Data'!$U$6:$U$3786)</f>
        <v>1</v>
      </c>
      <c r="O54" s="503">
        <f t="shared" si="2"/>
        <v>1</v>
      </c>
      <c r="P54" s="504">
        <f>SUMIF('Diags Raw Data'!$A$6:$A$3786,"*"&amp;$A54&amp;"*",'Diags Raw Data'!$Z$6:$Z$3786)</f>
        <v>0</v>
      </c>
      <c r="Q54" s="505">
        <f>SUM(SUMIF('Diags Raw Data'!$A$6:$A$3786,"*"&amp;$A54&amp;"*",'Diags Raw Data'!$AA$6:$AA$3786),SUMIF('Diags Raw Data'!$A$6:$A$3786,"*"&amp;$A54&amp;"*",'Diags Raw Data'!$AB$6:$AB$3786))</f>
        <v>0</v>
      </c>
      <c r="R54" s="506">
        <f t="shared" si="3"/>
        <v>0</v>
      </c>
      <c r="S54" s="506">
        <f t="shared" si="4"/>
        <v>0</v>
      </c>
      <c r="T54" s="507">
        <f t="shared" si="5"/>
        <v>0</v>
      </c>
      <c r="U54" s="453" t="s">
        <v>1109</v>
      </c>
      <c r="V54" s="181"/>
    </row>
    <row r="55" spans="1:22" ht="45" x14ac:dyDescent="0.25">
      <c r="A55" s="448" t="s">
        <v>569</v>
      </c>
      <c r="B55" s="449" t="str">
        <f>VLOOKUP(A55,'Feature Raw Data'!$A$3:$B$3986,2,FALSE)</f>
        <v>Feature name - EX-FEAT-049</v>
      </c>
      <c r="C55" s="450" t="str">
        <f>VLOOKUP(A55,'Feature Raw Data'!$A$3:$C$3986,3,FALSE)</f>
        <v>P2</v>
      </c>
      <c r="D55" s="451" t="str" cm="1">
        <f t="array" ref="D55">_xlfn.TEXTJOIN("",TRUE,IF(ISNUMBER(SEARCH($A55,'Diags Raw Data'!$A$6:$A$3786)),CONCATENATE('Diags Raw Data'!$H$6:$H$3786,", "),""))</f>
        <v xml:space="preserve">, </v>
      </c>
      <c r="E55" s="342" t="str">
        <f>VLOOKUP(A55,'Diags Raw Data'!$A$6:$D$3786,4,FALSE)</f>
        <v>Xtensa processing for audio</v>
      </c>
      <c r="F55" s="342" t="str">
        <f>VLOOKUP(A55,'Feature Raw Data'!$A$3:$E$3986,5,FALSE)</f>
        <v>Legacy</v>
      </c>
      <c r="G55" s="342" t="str">
        <f t="shared" si="6"/>
        <v>Yes</v>
      </c>
      <c r="H55" s="342" t="str">
        <f t="shared" si="7"/>
        <v>Yes</v>
      </c>
      <c r="I55" s="450">
        <f>SUMIF('Diags Raw Data'!$A$6:$A$3786,"*"&amp;$A55&amp;"*",'Diags Raw Data'!$K$6:$K$3786)</f>
        <v>1</v>
      </c>
      <c r="J55" s="452">
        <f>SUMIF('Diags Raw Data'!$A$6:$A$3786,"*"&amp;$A55&amp;"*",'Diags Raw Data'!$L$6:$L$3786)</f>
        <v>1</v>
      </c>
      <c r="K55" s="499" cm="1">
        <f t="array" ref="K55">IF(D55="",0, SUMPRODUCT(--(ISNUMBER(SEARCH($A55,'Diags Raw Data'!$A$6:$A$3786))),'Diags Raw Data'!$L$6:$L$3786,'Diags Raw Data'!$N$6:$N$3786)/J55)</f>
        <v>1</v>
      </c>
      <c r="L55" s="500" cm="1">
        <f t="array" ref="L55">IF(D55="",0, SUMPRODUCT(--(ISNUMBER(SEARCH($A55,'Diags Raw Data'!$A$6:$A$3786))),'Diags Raw Data'!$L$6:$L$3786,'Diags Raw Data'!$P$6:$P$3786)/J55)</f>
        <v>1</v>
      </c>
      <c r="M55" s="501" cm="1">
        <f t="array" ref="M55">SUMPRODUCT(--(ISNUMBER(SEARCH($A55,'Diags Raw Data'!$A$6:$A$3786))),--('Diags Raw Data'!$Q$6:$Q$3786&lt;&gt;"N/A"),'Diags Raw Data'!$R$6:$R$3786)</f>
        <v>1</v>
      </c>
      <c r="N55" s="502" cm="1">
        <f t="array" ref="N55">SUMPRODUCT(--(ISNUMBER(SEARCH($A55,'Diags Raw Data'!$A$6:$A$3786))),--('Diags Raw Data'!$Q$6:$Q$3786&lt;&gt;"N/A"),'Diags Raw Data'!$T$6:$T$3786)+SUMPRODUCT(--(ISNUMBER(SEARCH($A55,'Diags Raw Data'!$A$6:$A$3786))),--('Diags Raw Data'!$Q$6:$Q$3786&lt;&gt;"N/A"),'Diags Raw Data'!$U$6:$U$3786)</f>
        <v>1</v>
      </c>
      <c r="O55" s="503">
        <f t="shared" si="2"/>
        <v>1</v>
      </c>
      <c r="P55" s="504">
        <f>SUMIF('Diags Raw Data'!$A$6:$A$3786,"*"&amp;$A55&amp;"*",'Diags Raw Data'!$Z$6:$Z$3786)</f>
        <v>0</v>
      </c>
      <c r="Q55" s="505">
        <f>SUM(SUMIF('Diags Raw Data'!$A$6:$A$3786,"*"&amp;$A55&amp;"*",'Diags Raw Data'!$AA$6:$AA$3786),SUMIF('Diags Raw Data'!$A$6:$A$3786,"*"&amp;$A55&amp;"*",'Diags Raw Data'!$AB$6:$AB$3786))</f>
        <v>0</v>
      </c>
      <c r="R55" s="506">
        <f t="shared" si="3"/>
        <v>0</v>
      </c>
      <c r="S55" s="506">
        <f t="shared" si="4"/>
        <v>0</v>
      </c>
      <c r="T55" s="507">
        <f t="shared" si="5"/>
        <v>0</v>
      </c>
      <c r="U55" s="453" t="s">
        <v>47</v>
      </c>
      <c r="V55" s="181"/>
    </row>
    <row r="56" spans="1:22" ht="45" x14ac:dyDescent="0.25">
      <c r="A56" s="448" t="s">
        <v>573</v>
      </c>
      <c r="B56" s="449" t="str">
        <f>VLOOKUP(A56,'Feature Raw Data'!$A$3:$B$3986,2,FALSE)</f>
        <v>Feature name - EX-FEAT-050</v>
      </c>
      <c r="C56" s="450" t="str">
        <f>VLOOKUP(A56,'Feature Raw Data'!$A$3:$C$3986,3,FALSE)</f>
        <v>P2</v>
      </c>
      <c r="D56" s="451" t="str" cm="1">
        <f t="array" ref="D56">_xlfn.TEXTJOIN("",TRUE,IF(ISNUMBER(SEARCH($A56,'Diags Raw Data'!$A$6:$A$3786)),CONCATENATE('Diags Raw Data'!$H$6:$H$3786,", "),""))</f>
        <v xml:space="preserve">acpaz24.1-6, </v>
      </c>
      <c r="E56" s="342" t="str">
        <f>VLOOKUP(A56,'Diags Raw Data'!$A$6:$D$3786,4,FALSE)</f>
        <v>Xtensa processing for audio</v>
      </c>
      <c r="F56" s="342" t="str">
        <f>VLOOKUP(A56,'Feature Raw Data'!$A$3:$E$3986,5,FALSE)</f>
        <v>Legacy</v>
      </c>
      <c r="G56" s="342" t="str">
        <f t="shared" si="6"/>
        <v>Yes</v>
      </c>
      <c r="H56" s="342" t="str">
        <f t="shared" si="7"/>
        <v>Yes</v>
      </c>
      <c r="I56" s="450">
        <f>SUMIF('Diags Raw Data'!$A$6:$A$3786,"*"&amp;$A56&amp;"*",'Diags Raw Data'!$K$6:$K$3786)</f>
        <v>1</v>
      </c>
      <c r="J56" s="452">
        <f>SUMIF('Diags Raw Data'!$A$6:$A$3786,"*"&amp;$A56&amp;"*",'Diags Raw Data'!$L$6:$L$3786)</f>
        <v>12</v>
      </c>
      <c r="K56" s="499" cm="1">
        <f t="array" ref="K56">IF(D56="",0, SUMPRODUCT(--(ISNUMBER(SEARCH($A56,'Diags Raw Data'!$A$6:$A$3786))),'Diags Raw Data'!$L$6:$L$3786,'Diags Raw Data'!$N$6:$N$3786)/J56)</f>
        <v>1</v>
      </c>
      <c r="L56" s="500" cm="1">
        <f t="array" ref="L56">IF(D56="",0, SUMPRODUCT(--(ISNUMBER(SEARCH($A56,'Diags Raw Data'!$A$6:$A$3786))),'Diags Raw Data'!$L$6:$L$3786,'Diags Raw Data'!$P$6:$P$3786)/J56)</f>
        <v>1</v>
      </c>
      <c r="M56" s="501" cm="1">
        <f t="array" ref="M56">SUMPRODUCT(--(ISNUMBER(SEARCH($A56,'Diags Raw Data'!$A$6:$A$3786))),--('Diags Raw Data'!$Q$6:$Q$3786&lt;&gt;"N/A"),'Diags Raw Data'!$R$6:$R$3786)</f>
        <v>12</v>
      </c>
      <c r="N56" s="502" cm="1">
        <f t="array" ref="N56">SUMPRODUCT(--(ISNUMBER(SEARCH($A56,'Diags Raw Data'!$A$6:$A$3786))),--('Diags Raw Data'!$Q$6:$Q$3786&lt;&gt;"N/A"),'Diags Raw Data'!$T$6:$T$3786)+SUMPRODUCT(--(ISNUMBER(SEARCH($A56,'Diags Raw Data'!$A$6:$A$3786))),--('Diags Raw Data'!$Q$6:$Q$3786&lt;&gt;"N/A"),'Diags Raw Data'!$U$6:$U$3786)</f>
        <v>12</v>
      </c>
      <c r="O56" s="503">
        <f t="shared" si="2"/>
        <v>1</v>
      </c>
      <c r="P56" s="504">
        <f>SUMIF('Diags Raw Data'!$A$6:$A$3786,"*"&amp;$A56&amp;"*",'Diags Raw Data'!$Z$6:$Z$3786)</f>
        <v>0</v>
      </c>
      <c r="Q56" s="505">
        <f>SUM(SUMIF('Diags Raw Data'!$A$6:$A$3786,"*"&amp;$A56&amp;"*",'Diags Raw Data'!$AA$6:$AA$3786),SUMIF('Diags Raw Data'!$A$6:$A$3786,"*"&amp;$A56&amp;"*",'Diags Raw Data'!$AB$6:$AB$3786))</f>
        <v>0</v>
      </c>
      <c r="R56" s="506">
        <f t="shared" si="3"/>
        <v>0</v>
      </c>
      <c r="S56" s="506">
        <f t="shared" si="4"/>
        <v>0</v>
      </c>
      <c r="T56" s="507">
        <f t="shared" si="5"/>
        <v>0</v>
      </c>
      <c r="U56" s="453" t="s">
        <v>1111</v>
      </c>
      <c r="V56" s="181"/>
    </row>
    <row r="57" spans="1:22" ht="45" x14ac:dyDescent="0.25">
      <c r="A57" s="448" t="s">
        <v>579</v>
      </c>
      <c r="B57" s="449" t="str">
        <f>VLOOKUP(A57,'Feature Raw Data'!$A$3:$B$3986,2,FALSE)</f>
        <v>Feature name - EX-FEAT-051</v>
      </c>
      <c r="C57" s="450" t="str">
        <f>VLOOKUP(A57,'Feature Raw Data'!$A$3:$C$3986,3,FALSE)</f>
        <v>P2</v>
      </c>
      <c r="D57" s="451" t="str" cm="1">
        <f t="array" ref="D57">_xlfn.TEXTJOIN("",TRUE,IF(ISNUMBER(SEARCH($A57,'Diags Raw Data'!$A$6:$A$3786)),CONCATENATE('Diags Raw Data'!$H$6:$H$3786,", "),""))</f>
        <v xml:space="preserve">acpaz24.1-6, </v>
      </c>
      <c r="E57" s="342" t="str">
        <f>VLOOKUP(A57,'Diags Raw Data'!$A$6:$D$3786,4,FALSE)</f>
        <v>Xtensa processing for audio</v>
      </c>
      <c r="F57" s="342" t="str">
        <f>VLOOKUP(A57,'Feature Raw Data'!$A$3:$E$3986,5,FALSE)</f>
        <v>Legacy</v>
      </c>
      <c r="G57" s="342" t="str">
        <f t="shared" si="6"/>
        <v>Yes</v>
      </c>
      <c r="H57" s="342" t="str">
        <f t="shared" si="7"/>
        <v>Yes</v>
      </c>
      <c r="I57" s="450">
        <f>SUMIF('Diags Raw Data'!$A$6:$A$3786,"*"&amp;$A57&amp;"*",'Diags Raw Data'!$K$6:$K$3786)</f>
        <v>1</v>
      </c>
      <c r="J57" s="452">
        <f>SUMIF('Diags Raw Data'!$A$6:$A$3786,"*"&amp;$A57&amp;"*",'Diags Raw Data'!$L$6:$L$3786)</f>
        <v>12</v>
      </c>
      <c r="K57" s="499" cm="1">
        <f t="array" ref="K57">IF(D57="",0, SUMPRODUCT(--(ISNUMBER(SEARCH($A57,'Diags Raw Data'!$A$6:$A$3786))),'Diags Raw Data'!$L$6:$L$3786,'Diags Raw Data'!$N$6:$N$3786)/J57)</f>
        <v>1</v>
      </c>
      <c r="L57" s="500" cm="1">
        <f t="array" ref="L57">IF(D57="",0, SUMPRODUCT(--(ISNUMBER(SEARCH($A57,'Diags Raw Data'!$A$6:$A$3786))),'Diags Raw Data'!$L$6:$L$3786,'Diags Raw Data'!$P$6:$P$3786)/J57)</f>
        <v>1</v>
      </c>
      <c r="M57" s="501" cm="1">
        <f t="array" ref="M57">SUMPRODUCT(--(ISNUMBER(SEARCH($A57,'Diags Raw Data'!$A$6:$A$3786))),--('Diags Raw Data'!$Q$6:$Q$3786&lt;&gt;"N/A"),'Diags Raw Data'!$R$6:$R$3786)</f>
        <v>12</v>
      </c>
      <c r="N57" s="502" cm="1">
        <f t="array" ref="N57">SUMPRODUCT(--(ISNUMBER(SEARCH($A57,'Diags Raw Data'!$A$6:$A$3786))),--('Diags Raw Data'!$Q$6:$Q$3786&lt;&gt;"N/A"),'Diags Raw Data'!$T$6:$T$3786)+SUMPRODUCT(--(ISNUMBER(SEARCH($A57,'Diags Raw Data'!$A$6:$A$3786))),--('Diags Raw Data'!$Q$6:$Q$3786&lt;&gt;"N/A"),'Diags Raw Data'!$U$6:$U$3786)</f>
        <v>12</v>
      </c>
      <c r="O57" s="503">
        <f t="shared" si="2"/>
        <v>1</v>
      </c>
      <c r="P57" s="504">
        <f>SUMIF('Diags Raw Data'!$A$6:$A$3786,"*"&amp;$A57&amp;"*",'Diags Raw Data'!$Z$6:$Z$3786)</f>
        <v>0</v>
      </c>
      <c r="Q57" s="505">
        <f>SUM(SUMIF('Diags Raw Data'!$A$6:$A$3786,"*"&amp;$A57&amp;"*",'Diags Raw Data'!$AA$6:$AA$3786),SUMIF('Diags Raw Data'!$A$6:$A$3786,"*"&amp;$A57&amp;"*",'Diags Raw Data'!$AB$6:$AB$3786))</f>
        <v>0</v>
      </c>
      <c r="R57" s="506">
        <f t="shared" si="3"/>
        <v>0</v>
      </c>
      <c r="S57" s="506">
        <f t="shared" si="4"/>
        <v>0</v>
      </c>
      <c r="T57" s="507">
        <f t="shared" si="5"/>
        <v>0</v>
      </c>
      <c r="U57" s="453" t="s">
        <v>1111</v>
      </c>
      <c r="V57" s="181"/>
    </row>
    <row r="58" spans="1:22" ht="45" x14ac:dyDescent="0.25">
      <c r="A58" s="448" t="s">
        <v>583</v>
      </c>
      <c r="B58" s="449" t="str">
        <f>VLOOKUP(A58,'Feature Raw Data'!$A$3:$B$3986,2,FALSE)</f>
        <v>Feature name - EX-FEAT-052</v>
      </c>
      <c r="C58" s="450" t="str">
        <f>VLOOKUP(A58,'Feature Raw Data'!$A$3:$C$3986,3,FALSE)</f>
        <v>P2</v>
      </c>
      <c r="D58" s="451" t="str" cm="1">
        <f t="array" ref="D58">_xlfn.TEXTJOIN("",TRUE,IF(ISNUMBER(SEARCH($A58,'Diags Raw Data'!$A$6:$A$3786)),CONCATENATE('Diags Raw Data'!$H$6:$H$3786,", "),""))</f>
        <v xml:space="preserve">N/A, </v>
      </c>
      <c r="E58" s="342" t="str">
        <f>VLOOKUP(A58,'Diags Raw Data'!$A$6:$D$3786,4,FALSE)</f>
        <v>Xtensa processing for audio</v>
      </c>
      <c r="F58" s="342" t="str">
        <f>VLOOKUP(A58,'Feature Raw Data'!$A$3:$E$3986,5,FALSE)</f>
        <v>Legacy</v>
      </c>
      <c r="G58" s="342" t="str">
        <f t="shared" si="6"/>
        <v>Yes</v>
      </c>
      <c r="H58" s="342" t="str">
        <f t="shared" si="7"/>
        <v>Yes</v>
      </c>
      <c r="I58" s="450">
        <f>SUMIF('Diags Raw Data'!$A$6:$A$3786,"*"&amp;$A58&amp;"*",'Diags Raw Data'!$K$6:$K$3786)</f>
        <v>1</v>
      </c>
      <c r="J58" s="452">
        <f>SUMIF('Diags Raw Data'!$A$6:$A$3786,"*"&amp;$A58&amp;"*",'Diags Raw Data'!$L$6:$L$3786)</f>
        <v>1</v>
      </c>
      <c r="K58" s="499" cm="1">
        <f t="array" ref="K58">IF(D58="",0, SUMPRODUCT(--(ISNUMBER(SEARCH($A58,'Diags Raw Data'!$A$6:$A$3786))),'Diags Raw Data'!$L$6:$L$3786,'Diags Raw Data'!$N$6:$N$3786)/J58)</f>
        <v>1</v>
      </c>
      <c r="L58" s="500" cm="1">
        <f t="array" ref="L58">IF(D58="",0, SUMPRODUCT(--(ISNUMBER(SEARCH($A58,'Diags Raw Data'!$A$6:$A$3786))),'Diags Raw Data'!$L$6:$L$3786,'Diags Raw Data'!$P$6:$P$3786)/J58)</f>
        <v>1</v>
      </c>
      <c r="M58" s="501" cm="1">
        <f t="array" ref="M58">SUMPRODUCT(--(ISNUMBER(SEARCH($A58,'Diags Raw Data'!$A$6:$A$3786))),--('Diags Raw Data'!$Q$6:$Q$3786&lt;&gt;"N/A"),'Diags Raw Data'!$R$6:$R$3786)</f>
        <v>1</v>
      </c>
      <c r="N58" s="502" cm="1">
        <f t="array" ref="N58">SUMPRODUCT(--(ISNUMBER(SEARCH($A58,'Diags Raw Data'!$A$6:$A$3786))),--('Diags Raw Data'!$Q$6:$Q$3786&lt;&gt;"N/A"),'Diags Raw Data'!$T$6:$T$3786)+SUMPRODUCT(--(ISNUMBER(SEARCH($A58,'Diags Raw Data'!$A$6:$A$3786))),--('Diags Raw Data'!$Q$6:$Q$3786&lt;&gt;"N/A"),'Diags Raw Data'!$U$6:$U$3786)</f>
        <v>1</v>
      </c>
      <c r="O58" s="503">
        <f t="shared" si="2"/>
        <v>1</v>
      </c>
      <c r="P58" s="504">
        <f>SUMIF('Diags Raw Data'!$A$6:$A$3786,"*"&amp;$A58&amp;"*",'Diags Raw Data'!$Z$6:$Z$3786)</f>
        <v>0</v>
      </c>
      <c r="Q58" s="505">
        <f>SUM(SUMIF('Diags Raw Data'!$A$6:$A$3786,"*"&amp;$A58&amp;"*",'Diags Raw Data'!$AA$6:$AA$3786),SUMIF('Diags Raw Data'!$A$6:$A$3786,"*"&amp;$A58&amp;"*",'Diags Raw Data'!$AB$6:$AB$3786))</f>
        <v>0</v>
      </c>
      <c r="R58" s="506">
        <f t="shared" si="3"/>
        <v>0</v>
      </c>
      <c r="S58" s="506">
        <f t="shared" si="4"/>
        <v>0</v>
      </c>
      <c r="T58" s="507">
        <f t="shared" si="5"/>
        <v>0</v>
      </c>
      <c r="U58" s="453" t="s">
        <v>1111</v>
      </c>
      <c r="V58" s="181"/>
    </row>
    <row r="59" spans="1:22" ht="45" x14ac:dyDescent="0.25">
      <c r="A59" s="448" t="s">
        <v>587</v>
      </c>
      <c r="B59" s="449" t="str">
        <f>VLOOKUP(A59,'Feature Raw Data'!$A$3:$B$3986,2,FALSE)</f>
        <v>Feature name - EX-FEAT-053</v>
      </c>
      <c r="C59" s="450" t="str">
        <f>VLOOKUP(A59,'Feature Raw Data'!$A$3:$C$3986,3,FALSE)</f>
        <v>P2</v>
      </c>
      <c r="D59" s="451" t="str" cm="1">
        <f t="array" ref="D59">_xlfn.TEXTJOIN("",TRUE,IF(ISNUMBER(SEARCH($A59,'Diags Raw Data'!$A$6:$A$3786)),CONCATENATE('Diags Raw Data'!$H$6:$H$3786,", "),""))</f>
        <v xml:space="preserve">acpaz293.1-8, </v>
      </c>
      <c r="E59" s="342" t="str">
        <f>VLOOKUP(A59,'Diags Raw Data'!$A$6:$D$3786,4,FALSE)</f>
        <v>Xtensa processing for audio</v>
      </c>
      <c r="F59" s="342" t="str">
        <f>VLOOKUP(A59,'Feature Raw Data'!$A$3:$E$3986,5,FALSE)</f>
        <v>Legacy</v>
      </c>
      <c r="G59" s="342" t="str">
        <f t="shared" si="6"/>
        <v>Yes</v>
      </c>
      <c r="H59" s="342" t="str">
        <f t="shared" si="7"/>
        <v>Yes</v>
      </c>
      <c r="I59" s="450">
        <f>SUMIF('Diags Raw Data'!$A$6:$A$3786,"*"&amp;$A59&amp;"*",'Diags Raw Data'!$K$6:$K$3786)</f>
        <v>1</v>
      </c>
      <c r="J59" s="452">
        <f>SUMIF('Diags Raw Data'!$A$6:$A$3786,"*"&amp;$A59&amp;"*",'Diags Raw Data'!$L$6:$L$3786)</f>
        <v>8</v>
      </c>
      <c r="K59" s="499" cm="1">
        <f t="array" ref="K59">IF(D59="",0, SUMPRODUCT(--(ISNUMBER(SEARCH($A59,'Diags Raw Data'!$A$6:$A$3786))),'Diags Raw Data'!$L$6:$L$3786,'Diags Raw Data'!$N$6:$N$3786)/J59)</f>
        <v>1</v>
      </c>
      <c r="L59" s="500" cm="1">
        <f t="array" ref="L59">IF(D59="",0, SUMPRODUCT(--(ISNUMBER(SEARCH($A59,'Diags Raw Data'!$A$6:$A$3786))),'Diags Raw Data'!$L$6:$L$3786,'Diags Raw Data'!$P$6:$P$3786)/J59)</f>
        <v>1</v>
      </c>
      <c r="M59" s="501" cm="1">
        <f t="array" ref="M59">SUMPRODUCT(--(ISNUMBER(SEARCH($A59,'Diags Raw Data'!$A$6:$A$3786))),--('Diags Raw Data'!$Q$6:$Q$3786&lt;&gt;"N/A"),'Diags Raw Data'!$R$6:$R$3786)</f>
        <v>8</v>
      </c>
      <c r="N59" s="502" cm="1">
        <f t="array" ref="N59">SUMPRODUCT(--(ISNUMBER(SEARCH($A59,'Diags Raw Data'!$A$6:$A$3786))),--('Diags Raw Data'!$Q$6:$Q$3786&lt;&gt;"N/A"),'Diags Raw Data'!$T$6:$T$3786)+SUMPRODUCT(--(ISNUMBER(SEARCH($A59,'Diags Raw Data'!$A$6:$A$3786))),--('Diags Raw Data'!$Q$6:$Q$3786&lt;&gt;"N/A"),'Diags Raw Data'!$U$6:$U$3786)</f>
        <v>8</v>
      </c>
      <c r="O59" s="503">
        <f t="shared" si="2"/>
        <v>1</v>
      </c>
      <c r="P59" s="504">
        <f>SUMIF('Diags Raw Data'!$A$6:$A$3786,"*"&amp;$A59&amp;"*",'Diags Raw Data'!$Z$6:$Z$3786)</f>
        <v>0</v>
      </c>
      <c r="Q59" s="505">
        <f>SUM(SUMIF('Diags Raw Data'!$A$6:$A$3786,"*"&amp;$A59&amp;"*",'Diags Raw Data'!$AA$6:$AA$3786),SUMIF('Diags Raw Data'!$A$6:$A$3786,"*"&amp;$A59&amp;"*",'Diags Raw Data'!$AB$6:$AB$3786))</f>
        <v>0</v>
      </c>
      <c r="R59" s="506">
        <f t="shared" si="3"/>
        <v>0</v>
      </c>
      <c r="S59" s="506">
        <f t="shared" si="4"/>
        <v>0</v>
      </c>
      <c r="T59" s="507">
        <f t="shared" si="5"/>
        <v>0</v>
      </c>
      <c r="U59" s="453" t="s">
        <v>1109</v>
      </c>
      <c r="V59" s="181"/>
    </row>
    <row r="60" spans="1:22" ht="45" x14ac:dyDescent="0.25">
      <c r="A60" s="448" t="s">
        <v>592</v>
      </c>
      <c r="B60" s="449" t="str">
        <f>VLOOKUP(A60,'Feature Raw Data'!$A$3:$B$3986,2,FALSE)</f>
        <v>Feature name - EX-FEAT-054</v>
      </c>
      <c r="C60" s="450" t="str">
        <f>VLOOKUP(A60,'Feature Raw Data'!$A$3:$C$3986,3,FALSE)</f>
        <v>P2</v>
      </c>
      <c r="D60" s="451" t="str" cm="1">
        <f t="array" ref="D60">_xlfn.TEXTJOIN("",TRUE,IF(ISNUMBER(SEARCH($A60,'Diags Raw Data'!$A$6:$A$3786)),CONCATENATE('Diags Raw Data'!$H$6:$H$3786,", "),""))</f>
        <v xml:space="preserve">acpaz27.1, </v>
      </c>
      <c r="E60" s="342" t="str">
        <f>VLOOKUP(A60,'Diags Raw Data'!$A$6:$D$3786,4,FALSE)</f>
        <v>IRAM/DRAM Mux combination</v>
      </c>
      <c r="F60" s="342" t="str">
        <f>VLOOKUP(A60,'Feature Raw Data'!$A$3:$E$3986,5,FALSE)</f>
        <v>Legacy</v>
      </c>
      <c r="G60" s="342" t="str">
        <f t="shared" si="6"/>
        <v>Yes</v>
      </c>
      <c r="H60" s="342" t="str">
        <f t="shared" si="7"/>
        <v>Yes</v>
      </c>
      <c r="I60" s="450">
        <f>SUMIF('Diags Raw Data'!$A$6:$A$3786,"*"&amp;$A60&amp;"*",'Diags Raw Data'!$K$6:$K$3786)</f>
        <v>1</v>
      </c>
      <c r="J60" s="452">
        <f>SUMIF('Diags Raw Data'!$A$6:$A$3786,"*"&amp;$A60&amp;"*",'Diags Raw Data'!$L$6:$L$3786)</f>
        <v>2</v>
      </c>
      <c r="K60" s="499" cm="1">
        <f t="array" ref="K60">IF(D60="",0, SUMPRODUCT(--(ISNUMBER(SEARCH($A60,'Diags Raw Data'!$A$6:$A$3786))),'Diags Raw Data'!$L$6:$L$3786,'Diags Raw Data'!$N$6:$N$3786)/J60)</f>
        <v>1</v>
      </c>
      <c r="L60" s="500" cm="1">
        <f t="array" ref="L60">IF(D60="",0, SUMPRODUCT(--(ISNUMBER(SEARCH($A60,'Diags Raw Data'!$A$6:$A$3786))),'Diags Raw Data'!$L$6:$L$3786,'Diags Raw Data'!$P$6:$P$3786)/J60)</f>
        <v>1</v>
      </c>
      <c r="M60" s="501" cm="1">
        <f t="array" ref="M60">SUMPRODUCT(--(ISNUMBER(SEARCH($A60,'Diags Raw Data'!$A$6:$A$3786))),--('Diags Raw Data'!$Q$6:$Q$3786&lt;&gt;"N/A"),'Diags Raw Data'!$R$6:$R$3786)</f>
        <v>2</v>
      </c>
      <c r="N60" s="502" cm="1">
        <f t="array" ref="N60">SUMPRODUCT(--(ISNUMBER(SEARCH($A60,'Diags Raw Data'!$A$6:$A$3786))),--('Diags Raw Data'!$Q$6:$Q$3786&lt;&gt;"N/A"),'Diags Raw Data'!$T$6:$T$3786)+SUMPRODUCT(--(ISNUMBER(SEARCH($A60,'Diags Raw Data'!$A$6:$A$3786))),--('Diags Raw Data'!$Q$6:$Q$3786&lt;&gt;"N/A"),'Diags Raw Data'!$U$6:$U$3786)</f>
        <v>2</v>
      </c>
      <c r="O60" s="503">
        <f t="shared" si="2"/>
        <v>1</v>
      </c>
      <c r="P60" s="504">
        <f>SUMIF('Diags Raw Data'!$A$6:$A$3786,"*"&amp;$A60&amp;"*",'Diags Raw Data'!$Z$6:$Z$3786)</f>
        <v>0</v>
      </c>
      <c r="Q60" s="505">
        <f>SUM(SUMIF('Diags Raw Data'!$A$6:$A$3786,"*"&amp;$A60&amp;"*",'Diags Raw Data'!$AA$6:$AA$3786),SUMIF('Diags Raw Data'!$A$6:$A$3786,"*"&amp;$A60&amp;"*",'Diags Raw Data'!$AB$6:$AB$3786))</f>
        <v>0</v>
      </c>
      <c r="R60" s="506">
        <f t="shared" si="3"/>
        <v>0</v>
      </c>
      <c r="S60" s="506">
        <f t="shared" si="4"/>
        <v>0</v>
      </c>
      <c r="T60" s="507">
        <f t="shared" si="5"/>
        <v>0</v>
      </c>
      <c r="U60" s="453" t="s">
        <v>47</v>
      </c>
      <c r="V60" s="181"/>
    </row>
    <row r="61" spans="1:22" x14ac:dyDescent="0.25">
      <c r="A61" s="448" t="s">
        <v>595</v>
      </c>
      <c r="B61" s="449" t="str">
        <f>VLOOKUP(A61,'Feature Raw Data'!$A$3:$B$3986,2,FALSE)</f>
        <v>Feature name - EX-FEAT-055</v>
      </c>
      <c r="C61" s="450" t="str">
        <f>VLOOKUP(A61,'Feature Raw Data'!$A$3:$C$3986,3,FALSE)</f>
        <v>P2</v>
      </c>
      <c r="D61" s="451" t="str" cm="1">
        <f t="array" ref="D61">_xlfn.TEXTJOIN("",TRUE,IF(ISNUMBER(SEARCH($A61,'Diags Raw Data'!$A$6:$A$3786)),CONCATENATE('Diags Raw Data'!$H$6:$H$3786,", "),""))</f>
        <v xml:space="preserve">N/A, </v>
      </c>
      <c r="E61" s="342" t="str">
        <f>VLOOKUP(A61,'Diags Raw Data'!$A$6:$D$3786,4,FALSE)</f>
        <v>SHA</v>
      </c>
      <c r="F61" s="342" t="str">
        <f>VLOOKUP(A61,'Feature Raw Data'!$A$3:$E$3986,5,FALSE)</f>
        <v>Legacy</v>
      </c>
      <c r="G61" s="342" t="str">
        <f t="shared" si="6"/>
        <v>Yes</v>
      </c>
      <c r="H61" s="342" t="str">
        <f t="shared" si="7"/>
        <v>Yes</v>
      </c>
      <c r="I61" s="450">
        <f>SUMIF('Diags Raw Data'!$A$6:$A$3786,"*"&amp;$A61&amp;"*",'Diags Raw Data'!$K$6:$K$3786)</f>
        <v>1</v>
      </c>
      <c r="J61" s="452">
        <f>SUMIF('Diags Raw Data'!$A$6:$A$3786,"*"&amp;$A61&amp;"*",'Diags Raw Data'!$L$6:$L$3786)</f>
        <v>1</v>
      </c>
      <c r="K61" s="499" cm="1">
        <f t="array" ref="K61">IF(D61="",0, SUMPRODUCT(--(ISNUMBER(SEARCH($A61,'Diags Raw Data'!$A$6:$A$3786))),'Diags Raw Data'!$L$6:$L$3786,'Diags Raw Data'!$N$6:$N$3786)/J61)</f>
        <v>1</v>
      </c>
      <c r="L61" s="500" cm="1">
        <f t="array" ref="L61">IF(D61="",0, SUMPRODUCT(--(ISNUMBER(SEARCH($A61,'Diags Raw Data'!$A$6:$A$3786))),'Diags Raw Data'!$L$6:$L$3786,'Diags Raw Data'!$P$6:$P$3786)/J61)</f>
        <v>1</v>
      </c>
      <c r="M61" s="501" cm="1">
        <f t="array" ref="M61">SUMPRODUCT(--(ISNUMBER(SEARCH($A61,'Diags Raw Data'!$A$6:$A$3786))),--('Diags Raw Data'!$Q$6:$Q$3786&lt;&gt;"N/A"),'Diags Raw Data'!$R$6:$R$3786)</f>
        <v>1</v>
      </c>
      <c r="N61" s="502" cm="1">
        <f t="array" ref="N61">SUMPRODUCT(--(ISNUMBER(SEARCH($A61,'Diags Raw Data'!$A$6:$A$3786))),--('Diags Raw Data'!$Q$6:$Q$3786&lt;&gt;"N/A"),'Diags Raw Data'!$T$6:$T$3786)+SUMPRODUCT(--(ISNUMBER(SEARCH($A61,'Diags Raw Data'!$A$6:$A$3786))),--('Diags Raw Data'!$Q$6:$Q$3786&lt;&gt;"N/A"),'Diags Raw Data'!$U$6:$U$3786)</f>
        <v>1</v>
      </c>
      <c r="O61" s="503">
        <f t="shared" si="2"/>
        <v>1</v>
      </c>
      <c r="P61" s="504">
        <f>SUMIF('Diags Raw Data'!$A$6:$A$3786,"*"&amp;$A61&amp;"*",'Diags Raw Data'!$Z$6:$Z$3786)</f>
        <v>0</v>
      </c>
      <c r="Q61" s="505">
        <f>SUM(SUMIF('Diags Raw Data'!$A$6:$A$3786,"*"&amp;$A61&amp;"*",'Diags Raw Data'!$AA$6:$AA$3786),SUMIF('Diags Raw Data'!$A$6:$A$3786,"*"&amp;$A61&amp;"*",'Diags Raw Data'!$AB$6:$AB$3786))</f>
        <v>0</v>
      </c>
      <c r="R61" s="506">
        <f t="shared" si="3"/>
        <v>0</v>
      </c>
      <c r="S61" s="506">
        <f t="shared" si="4"/>
        <v>0</v>
      </c>
      <c r="T61" s="507">
        <f t="shared" si="5"/>
        <v>0</v>
      </c>
      <c r="U61" s="453" t="s">
        <v>1110</v>
      </c>
      <c r="V61" s="181"/>
    </row>
    <row r="62" spans="1:22" x14ac:dyDescent="0.25">
      <c r="A62" s="448" t="s">
        <v>599</v>
      </c>
      <c r="B62" s="449" t="str">
        <f>VLOOKUP(A62,'Feature Raw Data'!$A$3:$B$3986,2,FALSE)</f>
        <v>Feature name - EX-FEAT-056</v>
      </c>
      <c r="C62" s="450" t="str">
        <f>VLOOKUP(A62,'Feature Raw Data'!$A$3:$C$3986,3,FALSE)</f>
        <v>P2</v>
      </c>
      <c r="D62" s="451" t="str" cm="1">
        <f t="array" ref="D62">_xlfn.TEXTJOIN("",TRUE,IF(ISNUMBER(SEARCH($A62,'Diags Raw Data'!$A$6:$A$3786)),CONCATENATE('Diags Raw Data'!$H$6:$H$3786,", "),""))</f>
        <v xml:space="preserve">N/A, </v>
      </c>
      <c r="E62" s="342" t="str">
        <f>VLOOKUP(A62,'Diags Raw Data'!$A$6:$D$3786,4,FALSE)</f>
        <v>SHA</v>
      </c>
      <c r="F62" s="342" t="str">
        <f>VLOOKUP(A62,'Feature Raw Data'!$A$3:$E$3986,5,FALSE)</f>
        <v>Legacy</v>
      </c>
      <c r="G62" s="342" t="str">
        <f t="shared" si="6"/>
        <v>Yes</v>
      </c>
      <c r="H62" s="342" t="str">
        <f t="shared" si="7"/>
        <v>Yes</v>
      </c>
      <c r="I62" s="450">
        <f>SUMIF('Diags Raw Data'!$A$6:$A$3786,"*"&amp;$A62&amp;"*",'Diags Raw Data'!$K$6:$K$3786)</f>
        <v>1</v>
      </c>
      <c r="J62" s="452">
        <f>SUMIF('Diags Raw Data'!$A$6:$A$3786,"*"&amp;$A62&amp;"*",'Diags Raw Data'!$L$6:$L$3786)</f>
        <v>1</v>
      </c>
      <c r="K62" s="499" cm="1">
        <f t="array" ref="K62">IF(D62="",0, SUMPRODUCT(--(ISNUMBER(SEARCH($A62,'Diags Raw Data'!$A$6:$A$3786))),'Diags Raw Data'!$L$6:$L$3786,'Diags Raw Data'!$N$6:$N$3786)/J62)</f>
        <v>1</v>
      </c>
      <c r="L62" s="500" cm="1">
        <f t="array" ref="L62">IF(D62="",0, SUMPRODUCT(--(ISNUMBER(SEARCH($A62,'Diags Raw Data'!$A$6:$A$3786))),'Diags Raw Data'!$L$6:$L$3786,'Diags Raw Data'!$P$6:$P$3786)/J62)</f>
        <v>1</v>
      </c>
      <c r="M62" s="501" cm="1">
        <f t="array" ref="M62">SUMPRODUCT(--(ISNUMBER(SEARCH($A62,'Diags Raw Data'!$A$6:$A$3786))),--('Diags Raw Data'!$Q$6:$Q$3786&lt;&gt;"N/A"),'Diags Raw Data'!$R$6:$R$3786)</f>
        <v>1</v>
      </c>
      <c r="N62" s="502" cm="1">
        <f t="array" ref="N62">SUMPRODUCT(--(ISNUMBER(SEARCH($A62,'Diags Raw Data'!$A$6:$A$3786))),--('Diags Raw Data'!$Q$6:$Q$3786&lt;&gt;"N/A"),'Diags Raw Data'!$T$6:$T$3786)+SUMPRODUCT(--(ISNUMBER(SEARCH($A62,'Diags Raw Data'!$A$6:$A$3786))),--('Diags Raw Data'!$Q$6:$Q$3786&lt;&gt;"N/A"),'Diags Raw Data'!$U$6:$U$3786)</f>
        <v>1</v>
      </c>
      <c r="O62" s="503">
        <f t="shared" si="2"/>
        <v>1</v>
      </c>
      <c r="P62" s="504">
        <f>SUMIF('Diags Raw Data'!$A$6:$A$3786,"*"&amp;$A62&amp;"*",'Diags Raw Data'!$Z$6:$Z$3786)</f>
        <v>0</v>
      </c>
      <c r="Q62" s="505">
        <f>SUM(SUMIF('Diags Raw Data'!$A$6:$A$3786,"*"&amp;$A62&amp;"*",'Diags Raw Data'!$AA$6:$AA$3786),SUMIF('Diags Raw Data'!$A$6:$A$3786,"*"&amp;$A62&amp;"*",'Diags Raw Data'!$AB$6:$AB$3786))</f>
        <v>0</v>
      </c>
      <c r="R62" s="506">
        <f t="shared" si="3"/>
        <v>0</v>
      </c>
      <c r="S62" s="506">
        <f t="shared" si="4"/>
        <v>0</v>
      </c>
      <c r="T62" s="507">
        <f t="shared" si="5"/>
        <v>0</v>
      </c>
      <c r="U62" s="453" t="s">
        <v>1109</v>
      </c>
      <c r="V62" s="181"/>
    </row>
    <row r="63" spans="1:22" x14ac:dyDescent="0.25">
      <c r="A63" s="448" t="s">
        <v>602</v>
      </c>
      <c r="B63" s="449" t="str">
        <f>VLOOKUP(A63,'Feature Raw Data'!$A$3:$B$3986,2,FALSE)</f>
        <v>Feature name - EX-FEAT-057</v>
      </c>
      <c r="C63" s="450" t="str">
        <f>VLOOKUP(A63,'Feature Raw Data'!$A$3:$C$3986,3,FALSE)</f>
        <v>P2</v>
      </c>
      <c r="D63" s="451" t="str" cm="1">
        <f t="array" ref="D63">_xlfn.TEXTJOIN("",TRUE,IF(ISNUMBER(SEARCH($A63,'Diags Raw Data'!$A$6:$A$3786)),CONCATENATE('Diags Raw Data'!$H$6:$H$3786,", "),""))</f>
        <v xml:space="preserve">N/A, </v>
      </c>
      <c r="E63" s="342" t="str">
        <f>VLOOKUP(A63,'Diags Raw Data'!$A$6:$D$3786,4,FALSE)</f>
        <v>SHA</v>
      </c>
      <c r="F63" s="342" t="str">
        <f>VLOOKUP(A63,'Feature Raw Data'!$A$3:$E$3986,5,FALSE)</f>
        <v>Legacy</v>
      </c>
      <c r="G63" s="342" t="str">
        <f t="shared" si="6"/>
        <v>Yes</v>
      </c>
      <c r="H63" s="342" t="str">
        <f t="shared" si="7"/>
        <v>Yes</v>
      </c>
      <c r="I63" s="450">
        <f>SUMIF('Diags Raw Data'!$A$6:$A$3786,"*"&amp;$A63&amp;"*",'Diags Raw Data'!$K$6:$K$3786)</f>
        <v>1</v>
      </c>
      <c r="J63" s="452">
        <f>SUMIF('Diags Raw Data'!$A$6:$A$3786,"*"&amp;$A63&amp;"*",'Diags Raw Data'!$L$6:$L$3786)</f>
        <v>1</v>
      </c>
      <c r="K63" s="499" cm="1">
        <f t="array" ref="K63">IF(D63="",0, SUMPRODUCT(--(ISNUMBER(SEARCH($A63,'Diags Raw Data'!$A$6:$A$3786))),'Diags Raw Data'!$L$6:$L$3786,'Diags Raw Data'!$N$6:$N$3786)/J63)</f>
        <v>1</v>
      </c>
      <c r="L63" s="500" cm="1">
        <f t="array" ref="L63">IF(D63="",0, SUMPRODUCT(--(ISNUMBER(SEARCH($A63,'Diags Raw Data'!$A$6:$A$3786))),'Diags Raw Data'!$L$6:$L$3786,'Diags Raw Data'!$P$6:$P$3786)/J63)</f>
        <v>1</v>
      </c>
      <c r="M63" s="501" cm="1">
        <f t="array" ref="M63">SUMPRODUCT(--(ISNUMBER(SEARCH($A63,'Diags Raw Data'!$A$6:$A$3786))),--('Diags Raw Data'!$Q$6:$Q$3786&lt;&gt;"N/A"),'Diags Raw Data'!$R$6:$R$3786)</f>
        <v>1</v>
      </c>
      <c r="N63" s="502" cm="1">
        <f t="array" ref="N63">SUMPRODUCT(--(ISNUMBER(SEARCH($A63,'Diags Raw Data'!$A$6:$A$3786))),--('Diags Raw Data'!$Q$6:$Q$3786&lt;&gt;"N/A"),'Diags Raw Data'!$T$6:$T$3786)+SUMPRODUCT(--(ISNUMBER(SEARCH($A63,'Diags Raw Data'!$A$6:$A$3786))),--('Diags Raw Data'!$Q$6:$Q$3786&lt;&gt;"N/A"),'Diags Raw Data'!$U$6:$U$3786)</f>
        <v>1</v>
      </c>
      <c r="O63" s="503">
        <f t="shared" si="2"/>
        <v>1</v>
      </c>
      <c r="P63" s="504">
        <f>SUMIF('Diags Raw Data'!$A$6:$A$3786,"*"&amp;$A63&amp;"*",'Diags Raw Data'!$Z$6:$Z$3786)</f>
        <v>0</v>
      </c>
      <c r="Q63" s="505">
        <f>SUM(SUMIF('Diags Raw Data'!$A$6:$A$3786,"*"&amp;$A63&amp;"*",'Diags Raw Data'!$AA$6:$AA$3786),SUMIF('Diags Raw Data'!$A$6:$A$3786,"*"&amp;$A63&amp;"*",'Diags Raw Data'!$AB$6:$AB$3786))</f>
        <v>0</v>
      </c>
      <c r="R63" s="506">
        <f t="shared" si="3"/>
        <v>0</v>
      </c>
      <c r="S63" s="506">
        <f t="shared" si="4"/>
        <v>0</v>
      </c>
      <c r="T63" s="507">
        <f t="shared" si="5"/>
        <v>0</v>
      </c>
      <c r="U63" s="453" t="s">
        <v>1111</v>
      </c>
      <c r="V63" s="181"/>
    </row>
    <row r="64" spans="1:22" x14ac:dyDescent="0.25">
      <c r="A64" s="448" t="s">
        <v>605</v>
      </c>
      <c r="B64" s="449" t="str">
        <f>VLOOKUP(A64,'Feature Raw Data'!$A$3:$B$3986,2,FALSE)</f>
        <v>Feature name - EX-FEAT-058</v>
      </c>
      <c r="C64" s="450" t="str">
        <f>VLOOKUP(A64,'Feature Raw Data'!$A$3:$C$3986,3,FALSE)</f>
        <v>P2</v>
      </c>
      <c r="D64" s="451" t="str" cm="1">
        <f t="array" ref="D64">_xlfn.TEXTJOIN("",TRUE,IF(ISNUMBER(SEARCH($A64,'Diags Raw Data'!$A$6:$A$3786)),CONCATENATE('Diags Raw Data'!$H$6:$H$3786,", "),""))</f>
        <v xml:space="preserve">acpaz40.1-3, </v>
      </c>
      <c r="E64" s="342" t="str">
        <f>VLOOKUP(A64,'Diags Raw Data'!$A$6:$D$3786,4,FALSE)</f>
        <v>SHA</v>
      </c>
      <c r="F64" s="342" t="str">
        <f>VLOOKUP(A64,'Feature Raw Data'!$A$3:$E$3986,5,FALSE)</f>
        <v>Legacy</v>
      </c>
      <c r="G64" s="342" t="str">
        <f t="shared" si="6"/>
        <v>Yes</v>
      </c>
      <c r="H64" s="342" t="str">
        <f t="shared" si="7"/>
        <v>Yes</v>
      </c>
      <c r="I64" s="450">
        <f>SUMIF('Diags Raw Data'!$A$6:$A$3786,"*"&amp;$A64&amp;"*",'Diags Raw Data'!$K$6:$K$3786)</f>
        <v>1</v>
      </c>
      <c r="J64" s="452">
        <f>SUMIF('Diags Raw Data'!$A$6:$A$3786,"*"&amp;$A64&amp;"*",'Diags Raw Data'!$L$6:$L$3786)</f>
        <v>6</v>
      </c>
      <c r="K64" s="499" cm="1">
        <f t="array" ref="K64">IF(D64="",0, SUMPRODUCT(--(ISNUMBER(SEARCH($A64,'Diags Raw Data'!$A$6:$A$3786))),'Diags Raw Data'!$L$6:$L$3786,'Diags Raw Data'!$N$6:$N$3786)/J64)</f>
        <v>1</v>
      </c>
      <c r="L64" s="500" cm="1">
        <f t="array" ref="L64">IF(D64="",0, SUMPRODUCT(--(ISNUMBER(SEARCH($A64,'Diags Raw Data'!$A$6:$A$3786))),'Diags Raw Data'!$L$6:$L$3786,'Diags Raw Data'!$P$6:$P$3786)/J64)</f>
        <v>1</v>
      </c>
      <c r="M64" s="501" cm="1">
        <f t="array" ref="M64">SUMPRODUCT(--(ISNUMBER(SEARCH($A64,'Diags Raw Data'!$A$6:$A$3786))),--('Diags Raw Data'!$Q$6:$Q$3786&lt;&gt;"N/A"),'Diags Raw Data'!$R$6:$R$3786)</f>
        <v>6</v>
      </c>
      <c r="N64" s="502" cm="1">
        <f t="array" ref="N64">SUMPRODUCT(--(ISNUMBER(SEARCH($A64,'Diags Raw Data'!$A$6:$A$3786))),--('Diags Raw Data'!$Q$6:$Q$3786&lt;&gt;"N/A"),'Diags Raw Data'!$T$6:$T$3786)+SUMPRODUCT(--(ISNUMBER(SEARCH($A64,'Diags Raw Data'!$A$6:$A$3786))),--('Diags Raw Data'!$Q$6:$Q$3786&lt;&gt;"N/A"),'Diags Raw Data'!$U$6:$U$3786)</f>
        <v>6</v>
      </c>
      <c r="O64" s="503">
        <f t="shared" si="2"/>
        <v>1</v>
      </c>
      <c r="P64" s="504">
        <f>SUMIF('Diags Raw Data'!$A$6:$A$3786,"*"&amp;$A64&amp;"*",'Diags Raw Data'!$Z$6:$Z$3786)</f>
        <v>0</v>
      </c>
      <c r="Q64" s="505">
        <f>SUM(SUMIF('Diags Raw Data'!$A$6:$A$3786,"*"&amp;$A64&amp;"*",'Diags Raw Data'!$AA$6:$AA$3786),SUMIF('Diags Raw Data'!$A$6:$A$3786,"*"&amp;$A64&amp;"*",'Diags Raw Data'!$AB$6:$AB$3786))</f>
        <v>0</v>
      </c>
      <c r="R64" s="506">
        <f t="shared" si="3"/>
        <v>0</v>
      </c>
      <c r="S64" s="506">
        <f t="shared" si="4"/>
        <v>0</v>
      </c>
      <c r="T64" s="507">
        <f t="shared" si="5"/>
        <v>0</v>
      </c>
      <c r="U64" s="453" t="s">
        <v>47</v>
      </c>
      <c r="V64" s="181"/>
    </row>
    <row r="65" spans="1:22" ht="30" x14ac:dyDescent="0.25">
      <c r="A65" s="448" t="s">
        <v>609</v>
      </c>
      <c r="B65" s="449" t="str">
        <f>VLOOKUP(A65,'Feature Raw Data'!$A$3:$B$3986,2,FALSE)</f>
        <v>Feature name - EX-FEAT-059</v>
      </c>
      <c r="C65" s="450" t="str">
        <f>VLOOKUP(A65,'Feature Raw Data'!$A$3:$C$3986,3,FALSE)</f>
        <v>P2</v>
      </c>
      <c r="D65" s="451" t="str" cm="1">
        <f t="array" ref="D65">_xlfn.TEXTJOIN("",TRUE,IF(ISNUMBER(SEARCH($A65,'Diags Raw Data'!$A$6:$A$3786)),CONCATENATE('Diags Raw Data'!$H$6:$H$3786,", "),""))</f>
        <v xml:space="preserve">acpaz29.8, acpaz29.9, acpaz29.3, acpaz29.10, </v>
      </c>
      <c r="E65" s="342" t="str">
        <f>VLOOKUP(A65,'Diags Raw Data'!$A$6:$D$3786,4,FALSE)</f>
        <v>SHA Error Test</v>
      </c>
      <c r="F65" s="342" t="str">
        <f>VLOOKUP(A65,'Feature Raw Data'!$A$3:$E$3986,5,FALSE)</f>
        <v>Legacy</v>
      </c>
      <c r="G65" s="342" t="str">
        <f t="shared" si="6"/>
        <v>Yes</v>
      </c>
      <c r="H65" s="342" t="str">
        <f t="shared" si="7"/>
        <v>Yes</v>
      </c>
      <c r="I65" s="450">
        <f>SUMIF('Diags Raw Data'!$A$6:$A$3786,"*"&amp;$A65&amp;"*",'Diags Raw Data'!$K$6:$K$3786)</f>
        <v>4</v>
      </c>
      <c r="J65" s="452">
        <f>SUMIF('Diags Raw Data'!$A$6:$A$3786,"*"&amp;$A65&amp;"*",'Diags Raw Data'!$L$6:$L$3786)</f>
        <v>8</v>
      </c>
      <c r="K65" s="499" cm="1">
        <f t="array" ref="K65">IF(D65="",0, SUMPRODUCT(--(ISNUMBER(SEARCH($A65,'Diags Raw Data'!$A$6:$A$3786))),'Diags Raw Data'!$L$6:$L$3786,'Diags Raw Data'!$N$6:$N$3786)/J65)</f>
        <v>1</v>
      </c>
      <c r="L65" s="500" cm="1">
        <f t="array" ref="L65">IF(D65="",0, SUMPRODUCT(--(ISNUMBER(SEARCH($A65,'Diags Raw Data'!$A$6:$A$3786))),'Diags Raw Data'!$L$6:$L$3786,'Diags Raw Data'!$P$6:$P$3786)/J65)</f>
        <v>1</v>
      </c>
      <c r="M65" s="501" cm="1">
        <f t="array" ref="M65">SUMPRODUCT(--(ISNUMBER(SEARCH($A65,'Diags Raw Data'!$A$6:$A$3786))),--('Diags Raw Data'!$Q$6:$Q$3786&lt;&gt;"N/A"),'Diags Raw Data'!$R$6:$R$3786)</f>
        <v>8</v>
      </c>
      <c r="N65" s="502" cm="1">
        <f t="array" ref="N65">SUMPRODUCT(--(ISNUMBER(SEARCH($A65,'Diags Raw Data'!$A$6:$A$3786))),--('Diags Raw Data'!$Q$6:$Q$3786&lt;&gt;"N/A"),'Diags Raw Data'!$T$6:$T$3786)+SUMPRODUCT(--(ISNUMBER(SEARCH($A65,'Diags Raw Data'!$A$6:$A$3786))),--('Diags Raw Data'!$Q$6:$Q$3786&lt;&gt;"N/A"),'Diags Raw Data'!$U$6:$U$3786)</f>
        <v>8</v>
      </c>
      <c r="O65" s="503">
        <f t="shared" si="2"/>
        <v>1</v>
      </c>
      <c r="P65" s="504">
        <f>SUMIF('Diags Raw Data'!$A$6:$A$3786,"*"&amp;$A65&amp;"*",'Diags Raw Data'!$Z$6:$Z$3786)</f>
        <v>0</v>
      </c>
      <c r="Q65" s="505">
        <f>SUM(SUMIF('Diags Raw Data'!$A$6:$A$3786,"*"&amp;$A65&amp;"*",'Diags Raw Data'!$AA$6:$AA$3786),SUMIF('Diags Raw Data'!$A$6:$A$3786,"*"&amp;$A65&amp;"*",'Diags Raw Data'!$AB$6:$AB$3786))</f>
        <v>0</v>
      </c>
      <c r="R65" s="506">
        <f t="shared" si="3"/>
        <v>0</v>
      </c>
      <c r="S65" s="506">
        <f t="shared" si="4"/>
        <v>0</v>
      </c>
      <c r="T65" s="507">
        <f t="shared" si="5"/>
        <v>0</v>
      </c>
      <c r="U65" s="453" t="s">
        <v>1109</v>
      </c>
      <c r="V65" s="181"/>
    </row>
    <row r="66" spans="1:22" x14ac:dyDescent="0.25">
      <c r="A66" s="448" t="s">
        <v>621</v>
      </c>
      <c r="B66" s="449" t="str">
        <f>VLOOKUP(A66,'Feature Raw Data'!$A$3:$B$3986,2,FALSE)</f>
        <v>Feature name - EX-FEAT-060</v>
      </c>
      <c r="C66" s="450" t="str">
        <f>VLOOKUP(A66,'Feature Raw Data'!$A$3:$C$3986,3,FALSE)</f>
        <v>P2</v>
      </c>
      <c r="D66" s="451" t="str" cm="1">
        <f t="array" ref="D66">_xlfn.TEXTJOIN("",TRUE,IF(ISNUMBER(SEARCH($A66,'Diags Raw Data'!$A$6:$A$3786)),CONCATENATE('Diags Raw Data'!$H$6:$H$3786,", "),""))</f>
        <v xml:space="preserve">acpaz255.1, </v>
      </c>
      <c r="E66" s="342" t="str">
        <f>VLOOKUP(A66,'Diags Raw Data'!$A$6:$D$3786,4,FALSE)</f>
        <v>I2S Test</v>
      </c>
      <c r="F66" s="342" t="str">
        <f>VLOOKUP(A66,'Feature Raw Data'!$A$3:$E$3986,5,FALSE)</f>
        <v>Legacy</v>
      </c>
      <c r="G66" s="342" t="str">
        <f t="shared" si="6"/>
        <v>Yes</v>
      </c>
      <c r="H66" s="342" t="str">
        <f t="shared" si="7"/>
        <v>Yes</v>
      </c>
      <c r="I66" s="450">
        <f>SUMIF('Diags Raw Data'!$A$6:$A$3786,"*"&amp;$A66&amp;"*",'Diags Raw Data'!$K$6:$K$3786)</f>
        <v>1</v>
      </c>
      <c r="J66" s="452">
        <f>SUMIF('Diags Raw Data'!$A$6:$A$3786,"*"&amp;$A66&amp;"*",'Diags Raw Data'!$L$6:$L$3786)</f>
        <v>60</v>
      </c>
      <c r="K66" s="499" cm="1">
        <f t="array" ref="K66">IF(D66="",0, SUMPRODUCT(--(ISNUMBER(SEARCH($A66,'Diags Raw Data'!$A$6:$A$3786))),'Diags Raw Data'!$L$6:$L$3786,'Diags Raw Data'!$N$6:$N$3786)/J66)</f>
        <v>1</v>
      </c>
      <c r="L66" s="500" cm="1">
        <f t="array" ref="L66">IF(D66="",0, SUMPRODUCT(--(ISNUMBER(SEARCH($A66,'Diags Raw Data'!$A$6:$A$3786))),'Diags Raw Data'!$L$6:$L$3786,'Diags Raw Data'!$P$6:$P$3786)/J66)</f>
        <v>1</v>
      </c>
      <c r="M66" s="501" cm="1">
        <f t="array" ref="M66">SUMPRODUCT(--(ISNUMBER(SEARCH($A66,'Diags Raw Data'!$A$6:$A$3786))),--('Diags Raw Data'!$Q$6:$Q$3786&lt;&gt;"N/A"),'Diags Raw Data'!$R$6:$R$3786)</f>
        <v>60</v>
      </c>
      <c r="N66" s="502" cm="1">
        <f t="array" ref="N66">SUMPRODUCT(--(ISNUMBER(SEARCH($A66,'Diags Raw Data'!$A$6:$A$3786))),--('Diags Raw Data'!$Q$6:$Q$3786&lt;&gt;"N/A"),'Diags Raw Data'!$T$6:$T$3786)+SUMPRODUCT(--(ISNUMBER(SEARCH($A66,'Diags Raw Data'!$A$6:$A$3786))),--('Diags Raw Data'!$Q$6:$Q$3786&lt;&gt;"N/A"),'Diags Raw Data'!$U$6:$U$3786)</f>
        <v>60</v>
      </c>
      <c r="O66" s="503">
        <f t="shared" si="2"/>
        <v>1</v>
      </c>
      <c r="P66" s="504">
        <f>SUMIF('Diags Raw Data'!$A$6:$A$3786,"*"&amp;$A66&amp;"*",'Diags Raw Data'!$Z$6:$Z$3786)</f>
        <v>0</v>
      </c>
      <c r="Q66" s="505">
        <f>SUM(SUMIF('Diags Raw Data'!$A$6:$A$3786,"*"&amp;$A66&amp;"*",'Diags Raw Data'!$AA$6:$AA$3786),SUMIF('Diags Raw Data'!$A$6:$A$3786,"*"&amp;$A66&amp;"*",'Diags Raw Data'!$AB$6:$AB$3786))</f>
        <v>0</v>
      </c>
      <c r="R66" s="506">
        <f t="shared" si="3"/>
        <v>0</v>
      </c>
      <c r="S66" s="506">
        <f t="shared" si="4"/>
        <v>0</v>
      </c>
      <c r="T66" s="507">
        <f t="shared" si="5"/>
        <v>0</v>
      </c>
      <c r="U66" s="453" t="s">
        <v>1109</v>
      </c>
      <c r="V66" s="181"/>
    </row>
    <row r="67" spans="1:22" x14ac:dyDescent="0.25">
      <c r="A67" s="448" t="s">
        <v>628</v>
      </c>
      <c r="B67" s="449" t="str">
        <f>VLOOKUP(A67,'Feature Raw Data'!$A$3:$B$3986,2,FALSE)</f>
        <v>Feature name - EX-FEAT-061</v>
      </c>
      <c r="C67" s="450" t="str">
        <f>VLOOKUP(A67,'Feature Raw Data'!$A$3:$C$3986,3,FALSE)</f>
        <v>P2</v>
      </c>
      <c r="D67" s="451" t="str" cm="1">
        <f t="array" ref="D67">_xlfn.TEXTJOIN("",TRUE,IF(ISNUMBER(SEARCH($A67,'Diags Raw Data'!$A$6:$A$3786)),CONCATENATE('Diags Raw Data'!$H$6:$H$3786,", "),""))</f>
        <v xml:space="preserve">acpaz255.2/256.2/259/2, </v>
      </c>
      <c r="E67" s="342" t="str">
        <f>VLOOKUP(A67,'Diags Raw Data'!$A$6:$D$3786,4,FALSE)</f>
        <v>I2S Test</v>
      </c>
      <c r="F67" s="342" t="str">
        <f>VLOOKUP(A67,'Feature Raw Data'!$A$3:$E$3986,5,FALSE)</f>
        <v>Legacy</v>
      </c>
      <c r="G67" s="342" t="str">
        <f t="shared" si="6"/>
        <v>Yes</v>
      </c>
      <c r="H67" s="342" t="str">
        <f t="shared" si="7"/>
        <v>Yes</v>
      </c>
      <c r="I67" s="450">
        <f>SUMIF('Diags Raw Data'!$A$6:$A$3786,"*"&amp;$A67&amp;"*",'Diags Raw Data'!$K$6:$K$3786)</f>
        <v>1</v>
      </c>
      <c r="J67" s="452">
        <f>SUMIF('Diags Raw Data'!$A$6:$A$3786,"*"&amp;$A67&amp;"*",'Diags Raw Data'!$L$6:$L$3786)</f>
        <v>60</v>
      </c>
      <c r="K67" s="499" cm="1">
        <f t="array" ref="K67">IF(D67="",0, SUMPRODUCT(--(ISNUMBER(SEARCH($A67,'Diags Raw Data'!$A$6:$A$3786))),'Diags Raw Data'!$L$6:$L$3786,'Diags Raw Data'!$N$6:$N$3786)/J67)</f>
        <v>1</v>
      </c>
      <c r="L67" s="500" cm="1">
        <f t="array" ref="L67">IF(D67="",0, SUMPRODUCT(--(ISNUMBER(SEARCH($A67,'Diags Raw Data'!$A$6:$A$3786))),'Diags Raw Data'!$L$6:$L$3786,'Diags Raw Data'!$P$6:$P$3786)/J67)</f>
        <v>1</v>
      </c>
      <c r="M67" s="501" cm="1">
        <f t="array" ref="M67">SUMPRODUCT(--(ISNUMBER(SEARCH($A67,'Diags Raw Data'!$A$6:$A$3786))),--('Diags Raw Data'!$Q$6:$Q$3786&lt;&gt;"N/A"),'Diags Raw Data'!$R$6:$R$3786)</f>
        <v>60</v>
      </c>
      <c r="N67" s="502" cm="1">
        <f t="array" ref="N67">SUMPRODUCT(--(ISNUMBER(SEARCH($A67,'Diags Raw Data'!$A$6:$A$3786))),--('Diags Raw Data'!$Q$6:$Q$3786&lt;&gt;"N/A"),'Diags Raw Data'!$T$6:$T$3786)+SUMPRODUCT(--(ISNUMBER(SEARCH($A67,'Diags Raw Data'!$A$6:$A$3786))),--('Diags Raw Data'!$Q$6:$Q$3786&lt;&gt;"N/A"),'Diags Raw Data'!$U$6:$U$3786)</f>
        <v>60</v>
      </c>
      <c r="O67" s="503">
        <f t="shared" si="2"/>
        <v>1</v>
      </c>
      <c r="P67" s="504">
        <f>SUMIF('Diags Raw Data'!$A$6:$A$3786,"*"&amp;$A67&amp;"*",'Diags Raw Data'!$Z$6:$Z$3786)</f>
        <v>0</v>
      </c>
      <c r="Q67" s="505">
        <f>SUM(SUMIF('Diags Raw Data'!$A$6:$A$3786,"*"&amp;$A67&amp;"*",'Diags Raw Data'!$AA$6:$AA$3786),SUMIF('Diags Raw Data'!$A$6:$A$3786,"*"&amp;$A67&amp;"*",'Diags Raw Data'!$AB$6:$AB$3786))</f>
        <v>0</v>
      </c>
      <c r="R67" s="506">
        <f t="shared" si="3"/>
        <v>0</v>
      </c>
      <c r="S67" s="506">
        <f t="shared" si="4"/>
        <v>0</v>
      </c>
      <c r="T67" s="507">
        <f t="shared" si="5"/>
        <v>0</v>
      </c>
      <c r="U67" s="453" t="s">
        <v>1112</v>
      </c>
      <c r="V67" s="181"/>
    </row>
    <row r="68" spans="1:22" x14ac:dyDescent="0.25">
      <c r="A68" s="448" t="s">
        <v>632</v>
      </c>
      <c r="B68" s="449" t="str">
        <f>VLOOKUP(A68,'Feature Raw Data'!$A$3:$B$3986,2,FALSE)</f>
        <v>Feature name - EX-FEAT-062</v>
      </c>
      <c r="C68" s="450" t="str">
        <f>VLOOKUP(A68,'Feature Raw Data'!$A$3:$C$3986,3,FALSE)</f>
        <v>P2</v>
      </c>
      <c r="D68" s="451" t="str" cm="1">
        <f t="array" ref="D68">_xlfn.TEXTJOIN("",TRUE,IF(ISNUMBER(SEARCH($A68,'Diags Raw Data'!$A$6:$A$3786)),CONCATENATE('Diags Raw Data'!$H$6:$H$3786,", "),""))</f>
        <v xml:space="preserve">acpaz256.1, </v>
      </c>
      <c r="E68" s="342" t="str">
        <f>VLOOKUP(A68,'Diags Raw Data'!$A$6:$D$3786,4,FALSE)</f>
        <v>I2S Test</v>
      </c>
      <c r="F68" s="342" t="str">
        <f>VLOOKUP(A68,'Feature Raw Data'!$A$3:$E$3986,5,FALSE)</f>
        <v>Legacy</v>
      </c>
      <c r="G68" s="342" t="str">
        <f t="shared" si="6"/>
        <v>Yes</v>
      </c>
      <c r="H68" s="342" t="str">
        <f t="shared" si="7"/>
        <v>Yes</v>
      </c>
      <c r="I68" s="450">
        <f>SUMIF('Diags Raw Data'!$A$6:$A$3786,"*"&amp;$A68&amp;"*",'Diags Raw Data'!$K$6:$K$3786)</f>
        <v>1</v>
      </c>
      <c r="J68" s="452">
        <f>SUMIF('Diags Raw Data'!$A$6:$A$3786,"*"&amp;$A68&amp;"*",'Diags Raw Data'!$L$6:$L$3786)</f>
        <v>1</v>
      </c>
      <c r="K68" s="499" cm="1">
        <f t="array" ref="K68">IF(D68="",0, SUMPRODUCT(--(ISNUMBER(SEARCH($A68,'Diags Raw Data'!$A$6:$A$3786))),'Diags Raw Data'!$L$6:$L$3786,'Diags Raw Data'!$N$6:$N$3786)/J68)</f>
        <v>1</v>
      </c>
      <c r="L68" s="500" cm="1">
        <f t="array" ref="L68">IF(D68="",0, SUMPRODUCT(--(ISNUMBER(SEARCH($A68,'Diags Raw Data'!$A$6:$A$3786))),'Diags Raw Data'!$L$6:$L$3786,'Diags Raw Data'!$P$6:$P$3786)/J68)</f>
        <v>1</v>
      </c>
      <c r="M68" s="501" cm="1">
        <f t="array" ref="M68">SUMPRODUCT(--(ISNUMBER(SEARCH($A68,'Diags Raw Data'!$A$6:$A$3786))),--('Diags Raw Data'!$Q$6:$Q$3786&lt;&gt;"N/A"),'Diags Raw Data'!$R$6:$R$3786)</f>
        <v>1</v>
      </c>
      <c r="N68" s="502" cm="1">
        <f t="array" ref="N68">SUMPRODUCT(--(ISNUMBER(SEARCH($A68,'Diags Raw Data'!$A$6:$A$3786))),--('Diags Raw Data'!$Q$6:$Q$3786&lt;&gt;"N/A"),'Diags Raw Data'!$T$6:$T$3786)+SUMPRODUCT(--(ISNUMBER(SEARCH($A68,'Diags Raw Data'!$A$6:$A$3786))),--('Diags Raw Data'!$Q$6:$Q$3786&lt;&gt;"N/A"),'Diags Raw Data'!$U$6:$U$3786)</f>
        <v>1</v>
      </c>
      <c r="O68" s="503">
        <f t="shared" si="2"/>
        <v>1</v>
      </c>
      <c r="P68" s="504">
        <f>SUMIF('Diags Raw Data'!$A$6:$A$3786,"*"&amp;$A68&amp;"*",'Diags Raw Data'!$Z$6:$Z$3786)</f>
        <v>0</v>
      </c>
      <c r="Q68" s="505">
        <f>SUM(SUMIF('Diags Raw Data'!$A$6:$A$3786,"*"&amp;$A68&amp;"*",'Diags Raw Data'!$AA$6:$AA$3786),SUMIF('Diags Raw Data'!$A$6:$A$3786,"*"&amp;$A68&amp;"*",'Diags Raw Data'!$AB$6:$AB$3786))</f>
        <v>0</v>
      </c>
      <c r="R68" s="506">
        <f t="shared" si="3"/>
        <v>0</v>
      </c>
      <c r="S68" s="506">
        <f t="shared" si="4"/>
        <v>0</v>
      </c>
      <c r="T68" s="507">
        <f t="shared" si="5"/>
        <v>0</v>
      </c>
      <c r="U68" s="453" t="s">
        <v>277</v>
      </c>
      <c r="V68" s="181"/>
    </row>
    <row r="69" spans="1:22" x14ac:dyDescent="0.25">
      <c r="A69" s="448" t="s">
        <v>637</v>
      </c>
      <c r="B69" s="449" t="str">
        <f>VLOOKUP(A69,'Feature Raw Data'!$A$3:$B$3986,2,FALSE)</f>
        <v>Feature name - EX-FEAT-063</v>
      </c>
      <c r="C69" s="450" t="str">
        <f>VLOOKUP(A69,'Feature Raw Data'!$A$3:$C$3986,3,FALSE)</f>
        <v>P2</v>
      </c>
      <c r="D69" s="451" t="str" cm="1">
        <f t="array" ref="D69">_xlfn.TEXTJOIN("",TRUE,IF(ISNUMBER(SEARCH($A69,'Diags Raw Data'!$A$6:$A$3786)),CONCATENATE('Diags Raw Data'!$H$6:$H$3786,", "),""))</f>
        <v xml:space="preserve">acpaz55.1, </v>
      </c>
      <c r="E69" s="342" t="str">
        <f>VLOOKUP(A69,'Diags Raw Data'!$A$6:$D$3786,4,FALSE)</f>
        <v>I2S Test</v>
      </c>
      <c r="F69" s="342" t="str">
        <f>VLOOKUP(A69,'Feature Raw Data'!$A$3:$E$3986,5,FALSE)</f>
        <v>Legacy</v>
      </c>
      <c r="G69" s="342" t="str">
        <f t="shared" si="6"/>
        <v>Yes</v>
      </c>
      <c r="H69" s="342" t="str">
        <f t="shared" si="7"/>
        <v>Yes</v>
      </c>
      <c r="I69" s="450">
        <f>SUMIF('Diags Raw Data'!$A$6:$A$3786,"*"&amp;$A69&amp;"*",'Diags Raw Data'!$K$6:$K$3786)</f>
        <v>1</v>
      </c>
      <c r="J69" s="452">
        <f>SUMIF('Diags Raw Data'!$A$6:$A$3786,"*"&amp;$A69&amp;"*",'Diags Raw Data'!$L$6:$L$3786)</f>
        <v>1</v>
      </c>
      <c r="K69" s="499" cm="1">
        <f t="array" ref="K69">IF(D69="",0, SUMPRODUCT(--(ISNUMBER(SEARCH($A69,'Diags Raw Data'!$A$6:$A$3786))),'Diags Raw Data'!$L$6:$L$3786,'Diags Raw Data'!$N$6:$N$3786)/J69)</f>
        <v>1</v>
      </c>
      <c r="L69" s="500" cm="1">
        <f t="array" ref="L69">IF(D69="",0, SUMPRODUCT(--(ISNUMBER(SEARCH($A69,'Diags Raw Data'!$A$6:$A$3786))),'Diags Raw Data'!$L$6:$L$3786,'Diags Raw Data'!$P$6:$P$3786)/J69)</f>
        <v>1</v>
      </c>
      <c r="M69" s="501" cm="1">
        <f t="array" ref="M69">SUMPRODUCT(--(ISNUMBER(SEARCH($A69,'Diags Raw Data'!$A$6:$A$3786))),--('Diags Raw Data'!$Q$6:$Q$3786&lt;&gt;"N/A"),'Diags Raw Data'!$R$6:$R$3786)</f>
        <v>1</v>
      </c>
      <c r="N69" s="502" cm="1">
        <f t="array" ref="N69">SUMPRODUCT(--(ISNUMBER(SEARCH($A69,'Diags Raw Data'!$A$6:$A$3786))),--('Diags Raw Data'!$Q$6:$Q$3786&lt;&gt;"N/A"),'Diags Raw Data'!$T$6:$T$3786)+SUMPRODUCT(--(ISNUMBER(SEARCH($A69,'Diags Raw Data'!$A$6:$A$3786))),--('Diags Raw Data'!$Q$6:$Q$3786&lt;&gt;"N/A"),'Diags Raw Data'!$U$6:$U$3786)</f>
        <v>1</v>
      </c>
      <c r="O69" s="503">
        <f t="shared" si="2"/>
        <v>1</v>
      </c>
      <c r="P69" s="504">
        <f>SUMIF('Diags Raw Data'!$A$6:$A$3786,"*"&amp;$A69&amp;"*",'Diags Raw Data'!$Z$6:$Z$3786)</f>
        <v>0</v>
      </c>
      <c r="Q69" s="505">
        <f>SUM(SUMIF('Diags Raw Data'!$A$6:$A$3786,"*"&amp;$A69&amp;"*",'Diags Raw Data'!$AA$6:$AA$3786),SUMIF('Diags Raw Data'!$A$6:$A$3786,"*"&amp;$A69&amp;"*",'Diags Raw Data'!$AB$6:$AB$3786))</f>
        <v>0</v>
      </c>
      <c r="R69" s="506">
        <f t="shared" si="3"/>
        <v>0</v>
      </c>
      <c r="S69" s="506">
        <f t="shared" si="4"/>
        <v>0</v>
      </c>
      <c r="T69" s="507">
        <f t="shared" si="5"/>
        <v>0</v>
      </c>
      <c r="U69" s="453" t="s">
        <v>1112</v>
      </c>
      <c r="V69" s="181"/>
    </row>
    <row r="70" spans="1:22" x14ac:dyDescent="0.25">
      <c r="A70" s="448" t="s">
        <v>640</v>
      </c>
      <c r="B70" s="449" t="str">
        <f>VLOOKUP(A70,'Feature Raw Data'!$A$3:$B$3986,2,FALSE)</f>
        <v>Feature name - EX-FEAT-064</v>
      </c>
      <c r="C70" s="450" t="str">
        <f>VLOOKUP(A70,'Feature Raw Data'!$A$3:$C$3986,3,FALSE)</f>
        <v>P2</v>
      </c>
      <c r="D70" s="451" t="str" cm="1">
        <f t="array" ref="D70">_xlfn.TEXTJOIN("",TRUE,IF(ISNUMBER(SEARCH($A70,'Diags Raw Data'!$A$6:$A$3786)),CONCATENATE('Diags Raw Data'!$H$6:$H$3786,", "),""))</f>
        <v xml:space="preserve">acpaz55.1, </v>
      </c>
      <c r="E70" s="342" t="str">
        <f>VLOOKUP(A70,'Diags Raw Data'!$A$6:$D$3786,4,FALSE)</f>
        <v>I2S Test</v>
      </c>
      <c r="F70" s="342" t="str">
        <f>VLOOKUP(A70,'Feature Raw Data'!$A$3:$E$3986,5,FALSE)</f>
        <v>Legacy</v>
      </c>
      <c r="G70" s="342" t="str">
        <f t="shared" si="6"/>
        <v>Yes</v>
      </c>
      <c r="H70" s="342" t="str">
        <f t="shared" si="7"/>
        <v>Yes</v>
      </c>
      <c r="I70" s="450">
        <f>SUMIF('Diags Raw Data'!$A$6:$A$3786,"*"&amp;$A70&amp;"*",'Diags Raw Data'!$K$6:$K$3786)</f>
        <v>1</v>
      </c>
      <c r="J70" s="452">
        <f>SUMIF('Diags Raw Data'!$A$6:$A$3786,"*"&amp;$A70&amp;"*",'Diags Raw Data'!$L$6:$L$3786)</f>
        <v>1</v>
      </c>
      <c r="K70" s="499" cm="1">
        <f t="array" ref="K70">IF(D70="",0, SUMPRODUCT(--(ISNUMBER(SEARCH($A70,'Diags Raw Data'!$A$6:$A$3786))),'Diags Raw Data'!$L$6:$L$3786,'Diags Raw Data'!$N$6:$N$3786)/J70)</f>
        <v>1</v>
      </c>
      <c r="L70" s="500" cm="1">
        <f t="array" ref="L70">IF(D70="",0, SUMPRODUCT(--(ISNUMBER(SEARCH($A70,'Diags Raw Data'!$A$6:$A$3786))),'Diags Raw Data'!$L$6:$L$3786,'Diags Raw Data'!$P$6:$P$3786)/J70)</f>
        <v>1</v>
      </c>
      <c r="M70" s="501" cm="1">
        <f t="array" ref="M70">SUMPRODUCT(--(ISNUMBER(SEARCH($A70,'Diags Raw Data'!$A$6:$A$3786))),--('Diags Raw Data'!$Q$6:$Q$3786&lt;&gt;"N/A"),'Diags Raw Data'!$R$6:$R$3786)</f>
        <v>1</v>
      </c>
      <c r="N70" s="502" cm="1">
        <f t="array" ref="N70">SUMPRODUCT(--(ISNUMBER(SEARCH($A70,'Diags Raw Data'!$A$6:$A$3786))),--('Diags Raw Data'!$Q$6:$Q$3786&lt;&gt;"N/A"),'Diags Raw Data'!$T$6:$T$3786)+SUMPRODUCT(--(ISNUMBER(SEARCH($A70,'Diags Raw Data'!$A$6:$A$3786))),--('Diags Raw Data'!$Q$6:$Q$3786&lt;&gt;"N/A"),'Diags Raw Data'!$U$6:$U$3786)</f>
        <v>1</v>
      </c>
      <c r="O70" s="503">
        <f t="shared" si="2"/>
        <v>1</v>
      </c>
      <c r="P70" s="504">
        <f>SUMIF('Diags Raw Data'!$A$6:$A$3786,"*"&amp;$A70&amp;"*",'Diags Raw Data'!$Z$6:$Z$3786)</f>
        <v>0</v>
      </c>
      <c r="Q70" s="505">
        <f>SUM(SUMIF('Diags Raw Data'!$A$6:$A$3786,"*"&amp;$A70&amp;"*",'Diags Raw Data'!$AA$6:$AA$3786),SUMIF('Diags Raw Data'!$A$6:$A$3786,"*"&amp;$A70&amp;"*",'Diags Raw Data'!$AB$6:$AB$3786))</f>
        <v>0</v>
      </c>
      <c r="R70" s="506">
        <f t="shared" si="3"/>
        <v>0</v>
      </c>
      <c r="S70" s="506">
        <f t="shared" si="4"/>
        <v>0</v>
      </c>
      <c r="T70" s="507">
        <f t="shared" si="5"/>
        <v>0</v>
      </c>
      <c r="U70" s="453" t="s">
        <v>1113</v>
      </c>
      <c r="V70" s="181"/>
    </row>
    <row r="71" spans="1:22" x14ac:dyDescent="0.25">
      <c r="A71" s="448" t="s">
        <v>643</v>
      </c>
      <c r="B71" s="449" t="str">
        <f>VLOOKUP(A71,'Feature Raw Data'!$A$3:$B$3986,2,FALSE)</f>
        <v>Feature name - EX-FEAT-065</v>
      </c>
      <c r="C71" s="450" t="str">
        <f>VLOOKUP(A71,'Feature Raw Data'!$A$3:$C$3986,3,FALSE)</f>
        <v>P2</v>
      </c>
      <c r="D71" s="451" t="str" cm="1">
        <f t="array" ref="D71">_xlfn.TEXTJOIN("",TRUE,IF(ISNUMBER(SEARCH($A71,'Diags Raw Data'!$A$6:$A$3786)),CONCATENATE('Diags Raw Data'!$H$6:$H$3786,", "),""))</f>
        <v xml:space="preserve">acpaz55.2, </v>
      </c>
      <c r="E71" s="342" t="str">
        <f>VLOOKUP(A71,'Diags Raw Data'!$A$6:$D$3786,4,FALSE)</f>
        <v>I2S Test</v>
      </c>
      <c r="F71" s="342" t="str">
        <f>VLOOKUP(A71,'Feature Raw Data'!$A$3:$E$3986,5,FALSE)</f>
        <v>Legacy</v>
      </c>
      <c r="G71" s="342" t="str">
        <f t="shared" ref="G71:G141" si="8">IF(D71="","No","Yes")</f>
        <v>Yes</v>
      </c>
      <c r="H71" s="342" t="str">
        <f t="shared" ref="H71:H141" si="9">IF(D71="","No","Yes")</f>
        <v>Yes</v>
      </c>
      <c r="I71" s="450">
        <f>SUMIF('Diags Raw Data'!$A$6:$A$3786,"*"&amp;$A71&amp;"*",'Diags Raw Data'!$K$6:$K$3786)</f>
        <v>1</v>
      </c>
      <c r="J71" s="452">
        <f>SUMIF('Diags Raw Data'!$A$6:$A$3786,"*"&amp;$A71&amp;"*",'Diags Raw Data'!$L$6:$L$3786)</f>
        <v>1</v>
      </c>
      <c r="K71" s="499" cm="1">
        <f t="array" ref="K71">IF(D71="",0, SUMPRODUCT(--(ISNUMBER(SEARCH($A71,'Diags Raw Data'!$A$6:$A$3786))),'Diags Raw Data'!$L$6:$L$3786,'Diags Raw Data'!$N$6:$N$3786)/J71)</f>
        <v>1</v>
      </c>
      <c r="L71" s="500" cm="1">
        <f t="array" ref="L71">IF(D71="",0, SUMPRODUCT(--(ISNUMBER(SEARCH($A71,'Diags Raw Data'!$A$6:$A$3786))),'Diags Raw Data'!$L$6:$L$3786,'Diags Raw Data'!$P$6:$P$3786)/J71)</f>
        <v>1</v>
      </c>
      <c r="M71" s="501" cm="1">
        <f t="array" ref="M71">SUMPRODUCT(--(ISNUMBER(SEARCH($A71,'Diags Raw Data'!$A$6:$A$3786))),--('Diags Raw Data'!$Q$6:$Q$3786&lt;&gt;"N/A"),'Diags Raw Data'!$R$6:$R$3786)</f>
        <v>1</v>
      </c>
      <c r="N71" s="502" cm="1">
        <f t="array" ref="N71">SUMPRODUCT(--(ISNUMBER(SEARCH($A71,'Diags Raw Data'!$A$6:$A$3786))),--('Diags Raw Data'!$Q$6:$Q$3786&lt;&gt;"N/A"),'Diags Raw Data'!$T$6:$T$3786)+SUMPRODUCT(--(ISNUMBER(SEARCH($A71,'Diags Raw Data'!$A$6:$A$3786))),--('Diags Raw Data'!$Q$6:$Q$3786&lt;&gt;"N/A"),'Diags Raw Data'!$U$6:$U$3786)</f>
        <v>1</v>
      </c>
      <c r="O71" s="503">
        <f t="shared" si="2"/>
        <v>1</v>
      </c>
      <c r="P71" s="504">
        <f>SUMIF('Diags Raw Data'!$A$6:$A$3786,"*"&amp;$A71&amp;"*",'Diags Raw Data'!$Z$6:$Z$3786)</f>
        <v>0</v>
      </c>
      <c r="Q71" s="505">
        <f>SUM(SUMIF('Diags Raw Data'!$A$6:$A$3786,"*"&amp;$A71&amp;"*",'Diags Raw Data'!$AA$6:$AA$3786),SUMIF('Diags Raw Data'!$A$6:$A$3786,"*"&amp;$A71&amp;"*",'Diags Raw Data'!$AB$6:$AB$3786))</f>
        <v>0</v>
      </c>
      <c r="R71" s="506">
        <f t="shared" ref="R71:R135" si="10">IF((J71=0),0,P71/J71)</f>
        <v>0</v>
      </c>
      <c r="S71" s="506">
        <f t="shared" ref="S71:S138" si="11">IF((P71=0),0,Q71/P71)</f>
        <v>0</v>
      </c>
      <c r="T71" s="507">
        <f t="shared" ref="T71:T137" si="12">R71*S71</f>
        <v>0</v>
      </c>
      <c r="U71" s="453" t="s">
        <v>1111</v>
      </c>
      <c r="V71" s="181"/>
    </row>
    <row r="72" spans="1:22" x14ac:dyDescent="0.25">
      <c r="A72" s="448" t="s">
        <v>647</v>
      </c>
      <c r="B72" s="449" t="str">
        <f>VLOOKUP(A72,'Feature Raw Data'!$A$3:$B$3986,2,FALSE)</f>
        <v>Feature name - EX-FEAT-066</v>
      </c>
      <c r="C72" s="450" t="str">
        <f>VLOOKUP(A72,'Feature Raw Data'!$A$3:$C$3986,3,FALSE)</f>
        <v>P2</v>
      </c>
      <c r="D72" s="451" t="str" cm="1">
        <f t="array" ref="D72">_xlfn.TEXTJOIN("",TRUE,IF(ISNUMBER(SEARCH($A72,'Diags Raw Data'!$A$6:$A$3786)),CONCATENATE('Diags Raw Data'!$H$6:$H$3786,", "),""))</f>
        <v xml:space="preserve">, </v>
      </c>
      <c r="E72" s="342" t="str">
        <f>VLOOKUP(A72,'Diags Raw Data'!$A$6:$D$3786,4,FALSE)</f>
        <v>I2S Test</v>
      </c>
      <c r="F72" s="342" t="str">
        <f>VLOOKUP(A72,'Feature Raw Data'!$A$3:$E$3986,5,FALSE)</f>
        <v>Legacy</v>
      </c>
      <c r="G72" s="342" t="str">
        <f t="shared" si="8"/>
        <v>Yes</v>
      </c>
      <c r="H72" s="342" t="str">
        <f t="shared" si="9"/>
        <v>Yes</v>
      </c>
      <c r="I72" s="450">
        <f>SUMIF('Diags Raw Data'!$A$6:$A$3786,"*"&amp;$A72&amp;"*",'Diags Raw Data'!$K$6:$K$3786)</f>
        <v>1</v>
      </c>
      <c r="J72" s="452">
        <f>SUMIF('Diags Raw Data'!$A$6:$A$3786,"*"&amp;$A72&amp;"*",'Diags Raw Data'!$L$6:$L$3786)</f>
        <v>1</v>
      </c>
      <c r="K72" s="499" cm="1">
        <f t="array" ref="K72">IF(D72="",0, SUMPRODUCT(--(ISNUMBER(SEARCH($A72,'Diags Raw Data'!$A$6:$A$3786))),'Diags Raw Data'!$L$6:$L$3786,'Diags Raw Data'!$N$6:$N$3786)/J72)</f>
        <v>1</v>
      </c>
      <c r="L72" s="500" cm="1">
        <f t="array" ref="L72">IF(D72="",0, SUMPRODUCT(--(ISNUMBER(SEARCH($A72,'Diags Raw Data'!$A$6:$A$3786))),'Diags Raw Data'!$L$6:$L$3786,'Diags Raw Data'!$P$6:$P$3786)/J72)</f>
        <v>1</v>
      </c>
      <c r="M72" s="501" cm="1">
        <f t="array" ref="M72">SUMPRODUCT(--(ISNUMBER(SEARCH($A72,'Diags Raw Data'!$A$6:$A$3786))),--('Diags Raw Data'!$Q$6:$Q$3786&lt;&gt;"N/A"),'Diags Raw Data'!$R$6:$R$3786)</f>
        <v>1</v>
      </c>
      <c r="N72" s="502" cm="1">
        <f t="array" ref="N72">SUMPRODUCT(--(ISNUMBER(SEARCH($A72,'Diags Raw Data'!$A$6:$A$3786))),--('Diags Raw Data'!$Q$6:$Q$3786&lt;&gt;"N/A"),'Diags Raw Data'!$T$6:$T$3786)+SUMPRODUCT(--(ISNUMBER(SEARCH($A72,'Diags Raw Data'!$A$6:$A$3786))),--('Diags Raw Data'!$Q$6:$Q$3786&lt;&gt;"N/A"),'Diags Raw Data'!$U$6:$U$3786)</f>
        <v>1</v>
      </c>
      <c r="O72" s="503">
        <f t="shared" ref="O72:O138" si="13">IF((M72=0),0,N72/M72)</f>
        <v>1</v>
      </c>
      <c r="P72" s="504">
        <f>SUMIF('Diags Raw Data'!$A$6:$A$3786,"*"&amp;$A72&amp;"*",'Diags Raw Data'!$Z$6:$Z$3786)</f>
        <v>0</v>
      </c>
      <c r="Q72" s="505">
        <f>SUM(SUMIF('Diags Raw Data'!$A$6:$A$3786,"*"&amp;$A72&amp;"*",'Diags Raw Data'!$AA$6:$AA$3786),SUMIF('Diags Raw Data'!$A$6:$A$3786,"*"&amp;$A72&amp;"*",'Diags Raw Data'!$AB$6:$AB$3786))</f>
        <v>0</v>
      </c>
      <c r="R72" s="506">
        <f t="shared" si="10"/>
        <v>0</v>
      </c>
      <c r="S72" s="506">
        <f t="shared" si="11"/>
        <v>0</v>
      </c>
      <c r="T72" s="507">
        <f t="shared" si="12"/>
        <v>0</v>
      </c>
      <c r="U72" s="453" t="s">
        <v>1111</v>
      </c>
      <c r="V72" s="181"/>
    </row>
    <row r="73" spans="1:22" x14ac:dyDescent="0.25">
      <c r="A73" s="448" t="s">
        <v>650</v>
      </c>
      <c r="B73" s="449" t="str">
        <f>VLOOKUP(A73,'Feature Raw Data'!$A$3:$B$3986,2,FALSE)</f>
        <v>Feature name - EX-FEAT-067</v>
      </c>
      <c r="C73" s="450" t="str">
        <f>VLOOKUP(A73,'Feature Raw Data'!$A$3:$C$3986,3,FALSE)</f>
        <v>P2</v>
      </c>
      <c r="D73" s="451" t="str" cm="1">
        <f t="array" ref="D73">_xlfn.TEXTJOIN("",TRUE,IF(ISNUMBER(SEARCH($A73,'Diags Raw Data'!$A$6:$A$3786)),CONCATENATE('Diags Raw Data'!$H$6:$H$3786,", "),""))</f>
        <v xml:space="preserve">acpaz55.1, </v>
      </c>
      <c r="E73" s="342" t="str">
        <f>VLOOKUP(A73,'Diags Raw Data'!$A$6:$D$3786,4,FALSE)</f>
        <v>I2S Test</v>
      </c>
      <c r="F73" s="342" t="str">
        <f>VLOOKUP(A73,'Feature Raw Data'!$A$3:$E$3986,5,FALSE)</f>
        <v>Legacy</v>
      </c>
      <c r="G73" s="342" t="str">
        <f t="shared" si="8"/>
        <v>Yes</v>
      </c>
      <c r="H73" s="342" t="str">
        <f t="shared" si="9"/>
        <v>Yes</v>
      </c>
      <c r="I73" s="450">
        <f>SUMIF('Diags Raw Data'!$A$6:$A$3786,"*"&amp;$A73&amp;"*",'Diags Raw Data'!$K$6:$K$3786)</f>
        <v>1</v>
      </c>
      <c r="J73" s="452">
        <f>SUMIF('Diags Raw Data'!$A$6:$A$3786,"*"&amp;$A73&amp;"*",'Diags Raw Data'!$L$6:$L$3786)</f>
        <v>1</v>
      </c>
      <c r="K73" s="499" cm="1">
        <f t="array" ref="K73">IF(D73="",0, SUMPRODUCT(--(ISNUMBER(SEARCH($A73,'Diags Raw Data'!$A$6:$A$3786))),'Diags Raw Data'!$L$6:$L$3786,'Diags Raw Data'!$N$6:$N$3786)/J73)</f>
        <v>1</v>
      </c>
      <c r="L73" s="500" cm="1">
        <f t="array" ref="L73">IF(D73="",0, SUMPRODUCT(--(ISNUMBER(SEARCH($A73,'Diags Raw Data'!$A$6:$A$3786))),'Diags Raw Data'!$L$6:$L$3786,'Diags Raw Data'!$P$6:$P$3786)/J73)</f>
        <v>1</v>
      </c>
      <c r="M73" s="501" cm="1">
        <f t="array" ref="M73">SUMPRODUCT(--(ISNUMBER(SEARCH($A73,'Diags Raw Data'!$A$6:$A$3786))),--('Diags Raw Data'!$Q$6:$Q$3786&lt;&gt;"N/A"),'Diags Raw Data'!$R$6:$R$3786)</f>
        <v>1</v>
      </c>
      <c r="N73" s="502" cm="1">
        <f t="array" ref="N73">SUMPRODUCT(--(ISNUMBER(SEARCH($A73,'Diags Raw Data'!$A$6:$A$3786))),--('Diags Raw Data'!$Q$6:$Q$3786&lt;&gt;"N/A"),'Diags Raw Data'!$T$6:$T$3786)+SUMPRODUCT(--(ISNUMBER(SEARCH($A73,'Diags Raw Data'!$A$6:$A$3786))),--('Diags Raw Data'!$Q$6:$Q$3786&lt;&gt;"N/A"),'Diags Raw Data'!$U$6:$U$3786)</f>
        <v>1</v>
      </c>
      <c r="O73" s="503">
        <f t="shared" si="13"/>
        <v>1</v>
      </c>
      <c r="P73" s="504">
        <f>SUMIF('Diags Raw Data'!$A$6:$A$3786,"*"&amp;$A73&amp;"*",'Diags Raw Data'!$Z$6:$Z$3786)</f>
        <v>0</v>
      </c>
      <c r="Q73" s="505">
        <f>SUM(SUMIF('Diags Raw Data'!$A$6:$A$3786,"*"&amp;$A73&amp;"*",'Diags Raw Data'!$AA$6:$AA$3786),SUMIF('Diags Raw Data'!$A$6:$A$3786,"*"&amp;$A73&amp;"*",'Diags Raw Data'!$AB$6:$AB$3786))</f>
        <v>0</v>
      </c>
      <c r="R73" s="506">
        <f t="shared" si="10"/>
        <v>0</v>
      </c>
      <c r="S73" s="506">
        <f t="shared" si="11"/>
        <v>0</v>
      </c>
      <c r="T73" s="507">
        <f t="shared" si="12"/>
        <v>0</v>
      </c>
      <c r="U73" s="453" t="s">
        <v>1112</v>
      </c>
      <c r="V73" s="181"/>
    </row>
    <row r="74" spans="1:22" x14ac:dyDescent="0.25">
      <c r="A74" s="448" t="s">
        <v>653</v>
      </c>
      <c r="B74" s="449" t="str">
        <f>VLOOKUP(A74,'Feature Raw Data'!$A$3:$B$3986,2,FALSE)</f>
        <v>Feature name - EX-FEAT-068</v>
      </c>
      <c r="C74" s="450" t="str">
        <f>VLOOKUP(A74,'Feature Raw Data'!$A$3:$C$3986,3,FALSE)</f>
        <v>P2</v>
      </c>
      <c r="D74" s="451" t="str" cm="1">
        <f t="array" ref="D74">_xlfn.TEXTJOIN("",TRUE,IF(ISNUMBER(SEARCH($A74,'Diags Raw Data'!$A$6:$A$3786)),CONCATENATE('Diags Raw Data'!$H$6:$H$3786,", "),""))</f>
        <v xml:space="preserve">acpaz55.2, </v>
      </c>
      <c r="E74" s="342" t="str">
        <f>VLOOKUP(A74,'Diags Raw Data'!$A$6:$D$3786,4,FALSE)</f>
        <v>I2S Test</v>
      </c>
      <c r="F74" s="342" t="str">
        <f>VLOOKUP(A74,'Feature Raw Data'!$A$3:$E$3986,5,FALSE)</f>
        <v>Legacy</v>
      </c>
      <c r="G74" s="342" t="str">
        <f t="shared" si="8"/>
        <v>Yes</v>
      </c>
      <c r="H74" s="342" t="str">
        <f t="shared" si="9"/>
        <v>Yes</v>
      </c>
      <c r="I74" s="450">
        <f>SUMIF('Diags Raw Data'!$A$6:$A$3786,"*"&amp;$A74&amp;"*",'Diags Raw Data'!$K$6:$K$3786)</f>
        <v>1</v>
      </c>
      <c r="J74" s="452">
        <f>SUMIF('Diags Raw Data'!$A$6:$A$3786,"*"&amp;$A74&amp;"*",'Diags Raw Data'!$L$6:$L$3786)</f>
        <v>1</v>
      </c>
      <c r="K74" s="499" cm="1">
        <f t="array" ref="K74">IF(D74="",0, SUMPRODUCT(--(ISNUMBER(SEARCH($A74,'Diags Raw Data'!$A$6:$A$3786))),'Diags Raw Data'!$L$6:$L$3786,'Diags Raw Data'!$N$6:$N$3786)/J74)</f>
        <v>1</v>
      </c>
      <c r="L74" s="500" cm="1">
        <f t="array" ref="L74">IF(D74="",0, SUMPRODUCT(--(ISNUMBER(SEARCH($A74,'Diags Raw Data'!$A$6:$A$3786))),'Diags Raw Data'!$L$6:$L$3786,'Diags Raw Data'!$P$6:$P$3786)/J74)</f>
        <v>1</v>
      </c>
      <c r="M74" s="501" cm="1">
        <f t="array" ref="M74">SUMPRODUCT(--(ISNUMBER(SEARCH($A74,'Diags Raw Data'!$A$6:$A$3786))),--('Diags Raw Data'!$Q$6:$Q$3786&lt;&gt;"N/A"),'Diags Raw Data'!$R$6:$R$3786)</f>
        <v>1</v>
      </c>
      <c r="N74" s="502" cm="1">
        <f t="array" ref="N74">SUMPRODUCT(--(ISNUMBER(SEARCH($A74,'Diags Raw Data'!$A$6:$A$3786))),--('Diags Raw Data'!$Q$6:$Q$3786&lt;&gt;"N/A"),'Diags Raw Data'!$T$6:$T$3786)+SUMPRODUCT(--(ISNUMBER(SEARCH($A74,'Diags Raw Data'!$A$6:$A$3786))),--('Diags Raw Data'!$Q$6:$Q$3786&lt;&gt;"N/A"),'Diags Raw Data'!$U$6:$U$3786)</f>
        <v>1</v>
      </c>
      <c r="O74" s="503">
        <f t="shared" si="13"/>
        <v>1</v>
      </c>
      <c r="P74" s="504">
        <f>SUMIF('Diags Raw Data'!$A$6:$A$3786,"*"&amp;$A74&amp;"*",'Diags Raw Data'!$Z$6:$Z$3786)</f>
        <v>0</v>
      </c>
      <c r="Q74" s="505">
        <f>SUM(SUMIF('Diags Raw Data'!$A$6:$A$3786,"*"&amp;$A74&amp;"*",'Diags Raw Data'!$AA$6:$AA$3786),SUMIF('Diags Raw Data'!$A$6:$A$3786,"*"&amp;$A74&amp;"*",'Diags Raw Data'!$AB$6:$AB$3786))</f>
        <v>0</v>
      </c>
      <c r="R74" s="506">
        <f t="shared" si="10"/>
        <v>0</v>
      </c>
      <c r="S74" s="506">
        <f t="shared" si="11"/>
        <v>0</v>
      </c>
      <c r="T74" s="507">
        <f t="shared" si="12"/>
        <v>0</v>
      </c>
      <c r="U74" s="453" t="s">
        <v>286</v>
      </c>
      <c r="V74" s="181"/>
    </row>
    <row r="75" spans="1:22" x14ac:dyDescent="0.25">
      <c r="A75" s="448" t="s">
        <v>655</v>
      </c>
      <c r="B75" s="449" t="str">
        <f>VLOOKUP(A75,'Feature Raw Data'!$A$3:$B$3986,2,FALSE)</f>
        <v>Feature name - EX-FEAT-069</v>
      </c>
      <c r="C75" s="450" t="str">
        <f>VLOOKUP(A75,'Feature Raw Data'!$A$3:$C$3986,3,FALSE)</f>
        <v>P2</v>
      </c>
      <c r="D75" s="451" t="str" cm="1">
        <f t="array" ref="D75">_xlfn.TEXTJOIN("",TRUE,IF(ISNUMBER(SEARCH($A75,'Diags Raw Data'!$A$6:$A$3786)),CONCATENATE('Diags Raw Data'!$H$6:$H$3786,", "),""))</f>
        <v xml:space="preserve">acpaz55.1, </v>
      </c>
      <c r="E75" s="342" t="str">
        <f>VLOOKUP(A75,'Diags Raw Data'!$A$6:$D$3786,4,FALSE)</f>
        <v>I2S Test</v>
      </c>
      <c r="F75" s="342" t="str">
        <f>VLOOKUP(A75,'Feature Raw Data'!$A$3:$E$3986,5,FALSE)</f>
        <v>Legacy</v>
      </c>
      <c r="G75" s="342" t="str">
        <f t="shared" si="8"/>
        <v>Yes</v>
      </c>
      <c r="H75" s="342" t="str">
        <f t="shared" si="9"/>
        <v>Yes</v>
      </c>
      <c r="I75" s="450">
        <f>SUMIF('Diags Raw Data'!$A$6:$A$3786,"*"&amp;$A75&amp;"*",'Diags Raw Data'!$K$6:$K$3786)</f>
        <v>1</v>
      </c>
      <c r="J75" s="452">
        <f>SUMIF('Diags Raw Data'!$A$6:$A$3786,"*"&amp;$A75&amp;"*",'Diags Raw Data'!$L$6:$L$3786)</f>
        <v>1</v>
      </c>
      <c r="K75" s="499" cm="1">
        <f t="array" ref="K75">IF(D75="",0, SUMPRODUCT(--(ISNUMBER(SEARCH($A75,'Diags Raw Data'!$A$6:$A$3786))),'Diags Raw Data'!$L$6:$L$3786,'Diags Raw Data'!$N$6:$N$3786)/J75)</f>
        <v>1</v>
      </c>
      <c r="L75" s="500" cm="1">
        <f t="array" ref="L75">IF(D75="",0, SUMPRODUCT(--(ISNUMBER(SEARCH($A75,'Diags Raw Data'!$A$6:$A$3786))),'Diags Raw Data'!$L$6:$L$3786,'Diags Raw Data'!$P$6:$P$3786)/J75)</f>
        <v>1</v>
      </c>
      <c r="M75" s="501" cm="1">
        <f t="array" ref="M75">SUMPRODUCT(--(ISNUMBER(SEARCH($A75,'Diags Raw Data'!$A$6:$A$3786))),--('Diags Raw Data'!$Q$6:$Q$3786&lt;&gt;"N/A"),'Diags Raw Data'!$R$6:$R$3786)</f>
        <v>1</v>
      </c>
      <c r="N75" s="502" cm="1">
        <f t="array" ref="N75">SUMPRODUCT(--(ISNUMBER(SEARCH($A75,'Diags Raw Data'!$A$6:$A$3786))),--('Diags Raw Data'!$Q$6:$Q$3786&lt;&gt;"N/A"),'Diags Raw Data'!$T$6:$T$3786)+SUMPRODUCT(--(ISNUMBER(SEARCH($A75,'Diags Raw Data'!$A$6:$A$3786))),--('Diags Raw Data'!$Q$6:$Q$3786&lt;&gt;"N/A"),'Diags Raw Data'!$U$6:$U$3786)</f>
        <v>1</v>
      </c>
      <c r="O75" s="503">
        <f t="shared" si="13"/>
        <v>1</v>
      </c>
      <c r="P75" s="504">
        <f>SUMIF('Diags Raw Data'!$A$6:$A$3786,"*"&amp;$A75&amp;"*",'Diags Raw Data'!$Z$6:$Z$3786)</f>
        <v>0</v>
      </c>
      <c r="Q75" s="505">
        <f>SUM(SUMIF('Diags Raw Data'!$A$6:$A$3786,"*"&amp;$A75&amp;"*",'Diags Raw Data'!$AA$6:$AA$3786),SUMIF('Diags Raw Data'!$A$6:$A$3786,"*"&amp;$A75&amp;"*",'Diags Raw Data'!$AB$6:$AB$3786))</f>
        <v>0</v>
      </c>
      <c r="R75" s="506">
        <f t="shared" si="10"/>
        <v>0</v>
      </c>
      <c r="S75" s="506">
        <f t="shared" si="11"/>
        <v>0</v>
      </c>
      <c r="T75" s="507">
        <f t="shared" si="12"/>
        <v>0</v>
      </c>
      <c r="U75" s="453" t="s">
        <v>277</v>
      </c>
      <c r="V75" s="181"/>
    </row>
    <row r="76" spans="1:22" x14ac:dyDescent="0.25">
      <c r="A76" s="448" t="s">
        <v>658</v>
      </c>
      <c r="B76" s="449" t="str">
        <f>VLOOKUP(A76,'Feature Raw Data'!$A$3:$B$3986,2,FALSE)</f>
        <v>Feature name - EX-FEAT-070</v>
      </c>
      <c r="C76" s="450" t="str">
        <f>VLOOKUP(A76,'Feature Raw Data'!$A$3:$C$3986,3,FALSE)</f>
        <v>P2</v>
      </c>
      <c r="D76" s="451" t="str" cm="1">
        <f t="array" ref="D76">_xlfn.TEXTJOIN("",TRUE,IF(ISNUMBER(SEARCH($A76,'Diags Raw Data'!$A$6:$A$3786)),CONCATENATE('Diags Raw Data'!$H$6:$H$3786,", "),""))</f>
        <v xml:space="preserve">acpaz55.1, </v>
      </c>
      <c r="E76" s="342" t="str">
        <f>VLOOKUP(A76,'Diags Raw Data'!$A$6:$D$3786,4,FALSE)</f>
        <v>I2S Test</v>
      </c>
      <c r="F76" s="342" t="str">
        <f>VLOOKUP(A76,'Feature Raw Data'!$A$3:$E$3986,5,FALSE)</f>
        <v>Legacy</v>
      </c>
      <c r="G76" s="342" t="str">
        <f t="shared" si="8"/>
        <v>Yes</v>
      </c>
      <c r="H76" s="342" t="str">
        <f t="shared" si="9"/>
        <v>Yes</v>
      </c>
      <c r="I76" s="450">
        <f>SUMIF('Diags Raw Data'!$A$6:$A$3786,"*"&amp;$A76&amp;"*",'Diags Raw Data'!$K$6:$K$3786)</f>
        <v>1</v>
      </c>
      <c r="J76" s="452">
        <f>SUMIF('Diags Raw Data'!$A$6:$A$3786,"*"&amp;$A76&amp;"*",'Diags Raw Data'!$L$6:$L$3786)</f>
        <v>1</v>
      </c>
      <c r="K76" s="499" cm="1">
        <f t="array" ref="K76">IF(D76="",0, SUMPRODUCT(--(ISNUMBER(SEARCH($A76,'Diags Raw Data'!$A$6:$A$3786))),'Diags Raw Data'!$L$6:$L$3786,'Diags Raw Data'!$N$6:$N$3786)/J76)</f>
        <v>1</v>
      </c>
      <c r="L76" s="500" cm="1">
        <f t="array" ref="L76">IF(D76="",0, SUMPRODUCT(--(ISNUMBER(SEARCH($A76,'Diags Raw Data'!$A$6:$A$3786))),'Diags Raw Data'!$L$6:$L$3786,'Diags Raw Data'!$P$6:$P$3786)/J76)</f>
        <v>1</v>
      </c>
      <c r="M76" s="501" cm="1">
        <f t="array" ref="M76">SUMPRODUCT(--(ISNUMBER(SEARCH($A76,'Diags Raw Data'!$A$6:$A$3786))),--('Diags Raw Data'!$Q$6:$Q$3786&lt;&gt;"N/A"),'Diags Raw Data'!$R$6:$R$3786)</f>
        <v>1</v>
      </c>
      <c r="N76" s="502" cm="1">
        <f t="array" ref="N76">SUMPRODUCT(--(ISNUMBER(SEARCH($A76,'Diags Raw Data'!$A$6:$A$3786))),--('Diags Raw Data'!$Q$6:$Q$3786&lt;&gt;"N/A"),'Diags Raw Data'!$T$6:$T$3786)+SUMPRODUCT(--(ISNUMBER(SEARCH($A76,'Diags Raw Data'!$A$6:$A$3786))),--('Diags Raw Data'!$Q$6:$Q$3786&lt;&gt;"N/A"),'Diags Raw Data'!$U$6:$U$3786)</f>
        <v>1</v>
      </c>
      <c r="O76" s="503">
        <f t="shared" si="13"/>
        <v>1</v>
      </c>
      <c r="P76" s="504">
        <f>SUMIF('Diags Raw Data'!$A$6:$A$3786,"*"&amp;$A76&amp;"*",'Diags Raw Data'!$Z$6:$Z$3786)</f>
        <v>0</v>
      </c>
      <c r="Q76" s="505">
        <f>SUM(SUMIF('Diags Raw Data'!$A$6:$A$3786,"*"&amp;$A76&amp;"*",'Diags Raw Data'!$AA$6:$AA$3786),SUMIF('Diags Raw Data'!$A$6:$A$3786,"*"&amp;$A76&amp;"*",'Diags Raw Data'!$AB$6:$AB$3786))</f>
        <v>0</v>
      </c>
      <c r="R76" s="506">
        <f t="shared" si="10"/>
        <v>0</v>
      </c>
      <c r="S76" s="506">
        <f t="shared" si="11"/>
        <v>0</v>
      </c>
      <c r="T76" s="507">
        <f t="shared" si="12"/>
        <v>0</v>
      </c>
      <c r="U76" s="453" t="s">
        <v>1112</v>
      </c>
      <c r="V76" s="181"/>
    </row>
    <row r="77" spans="1:22" x14ac:dyDescent="0.25">
      <c r="A77" s="448" t="s">
        <v>661</v>
      </c>
      <c r="B77" s="449" t="str">
        <f>VLOOKUP(A77,'Feature Raw Data'!$A$3:$B$3986,2,FALSE)</f>
        <v>Feature name - EX-FEAT-071</v>
      </c>
      <c r="C77" s="450" t="str">
        <f>VLOOKUP(A77,'Feature Raw Data'!$A$3:$C$3986,3,FALSE)</f>
        <v>P2</v>
      </c>
      <c r="D77" s="451" t="str" cm="1">
        <f t="array" ref="D77">_xlfn.TEXTJOIN("",TRUE,IF(ISNUMBER(SEARCH($A77,'Diags Raw Data'!$A$6:$A$3786)),CONCATENATE('Diags Raw Data'!$H$6:$H$3786,", "),""))</f>
        <v xml:space="preserve">acpaz55.1, </v>
      </c>
      <c r="E77" s="342" t="str">
        <f>VLOOKUP(A77,'Diags Raw Data'!$A$6:$D$3786,4,FALSE)</f>
        <v>I2S Test</v>
      </c>
      <c r="F77" s="342" t="str">
        <f>VLOOKUP(A77,'Feature Raw Data'!$A$3:$E$3986,5,FALSE)</f>
        <v>Legacy</v>
      </c>
      <c r="G77" s="342" t="str">
        <f t="shared" si="8"/>
        <v>Yes</v>
      </c>
      <c r="H77" s="342" t="str">
        <f t="shared" si="9"/>
        <v>Yes</v>
      </c>
      <c r="I77" s="450">
        <f>SUMIF('Diags Raw Data'!$A$6:$A$3786,"*"&amp;$A77&amp;"*",'Diags Raw Data'!$K$6:$K$3786)</f>
        <v>1</v>
      </c>
      <c r="J77" s="452">
        <f>SUMIF('Diags Raw Data'!$A$6:$A$3786,"*"&amp;$A77&amp;"*",'Diags Raw Data'!$L$6:$L$3786)</f>
        <v>1</v>
      </c>
      <c r="K77" s="499" cm="1">
        <f t="array" ref="K77">IF(D77="",0, SUMPRODUCT(--(ISNUMBER(SEARCH($A77,'Diags Raw Data'!$A$6:$A$3786))),'Diags Raw Data'!$L$6:$L$3786,'Diags Raw Data'!$N$6:$N$3786)/J77)</f>
        <v>1</v>
      </c>
      <c r="L77" s="500" cm="1">
        <f t="array" ref="L77">IF(D77="",0, SUMPRODUCT(--(ISNUMBER(SEARCH($A77,'Diags Raw Data'!$A$6:$A$3786))),'Diags Raw Data'!$L$6:$L$3786,'Diags Raw Data'!$P$6:$P$3786)/J77)</f>
        <v>1</v>
      </c>
      <c r="M77" s="501" cm="1">
        <f t="array" ref="M77">SUMPRODUCT(--(ISNUMBER(SEARCH($A77,'Diags Raw Data'!$A$6:$A$3786))),--('Diags Raw Data'!$Q$6:$Q$3786&lt;&gt;"N/A"),'Diags Raw Data'!$R$6:$R$3786)</f>
        <v>1</v>
      </c>
      <c r="N77" s="502" cm="1">
        <f t="array" ref="N77">SUMPRODUCT(--(ISNUMBER(SEARCH($A77,'Diags Raw Data'!$A$6:$A$3786))),--('Diags Raw Data'!$Q$6:$Q$3786&lt;&gt;"N/A"),'Diags Raw Data'!$T$6:$T$3786)+SUMPRODUCT(--(ISNUMBER(SEARCH($A77,'Diags Raw Data'!$A$6:$A$3786))),--('Diags Raw Data'!$Q$6:$Q$3786&lt;&gt;"N/A"),'Diags Raw Data'!$U$6:$U$3786)</f>
        <v>1</v>
      </c>
      <c r="O77" s="503">
        <f t="shared" si="13"/>
        <v>1</v>
      </c>
      <c r="P77" s="504">
        <f>SUMIF('Diags Raw Data'!$A$6:$A$3786,"*"&amp;$A77&amp;"*",'Diags Raw Data'!$Z$6:$Z$3786)</f>
        <v>0</v>
      </c>
      <c r="Q77" s="505">
        <f>SUM(SUMIF('Diags Raw Data'!$A$6:$A$3786,"*"&amp;$A77&amp;"*",'Diags Raw Data'!$AA$6:$AA$3786),SUMIF('Diags Raw Data'!$A$6:$A$3786,"*"&amp;$A77&amp;"*",'Diags Raw Data'!$AB$6:$AB$3786))</f>
        <v>0</v>
      </c>
      <c r="R77" s="506">
        <f t="shared" si="10"/>
        <v>0</v>
      </c>
      <c r="S77" s="506">
        <f t="shared" si="11"/>
        <v>0</v>
      </c>
      <c r="T77" s="507">
        <f t="shared" si="12"/>
        <v>0</v>
      </c>
      <c r="U77" s="453" t="s">
        <v>1112</v>
      </c>
      <c r="V77" s="181"/>
    </row>
    <row r="78" spans="1:22" x14ac:dyDescent="0.25">
      <c r="A78" s="448" t="s">
        <v>663</v>
      </c>
      <c r="B78" s="449" t="str">
        <f>VLOOKUP(A78,'Feature Raw Data'!$A$3:$B$3986,2,FALSE)</f>
        <v>Feature name - EX-FEAT-072</v>
      </c>
      <c r="C78" s="450" t="str">
        <f>VLOOKUP(A78,'Feature Raw Data'!$A$3:$C$3986,3,FALSE)</f>
        <v>P2</v>
      </c>
      <c r="D78" s="451" t="str" cm="1">
        <f t="array" ref="D78">_xlfn.TEXTJOIN("",TRUE,IF(ISNUMBER(SEARCH($A78,'Diags Raw Data'!$A$6:$A$3786)),CONCATENATE('Diags Raw Data'!$H$6:$H$3786,", "),""))</f>
        <v xml:space="preserve">acpaz55.1, acpaz56.1, </v>
      </c>
      <c r="E78" s="342" t="str">
        <f>VLOOKUP(A78,'Diags Raw Data'!$A$6:$D$3786,4,FALSE)</f>
        <v>I2S Test</v>
      </c>
      <c r="F78" s="342" t="str">
        <f>VLOOKUP(A78,'Feature Raw Data'!$A$3:$E$3986,5,FALSE)</f>
        <v>Legacy</v>
      </c>
      <c r="G78" s="342" t="str">
        <f t="shared" si="8"/>
        <v>Yes</v>
      </c>
      <c r="H78" s="342" t="str">
        <f t="shared" si="9"/>
        <v>Yes</v>
      </c>
      <c r="I78" s="450">
        <f>SUMIF('Diags Raw Data'!$A$6:$A$3786,"*"&amp;$A78&amp;"*",'Diags Raw Data'!$K$6:$K$3786)</f>
        <v>2</v>
      </c>
      <c r="J78" s="452">
        <f>SUMIF('Diags Raw Data'!$A$6:$A$3786,"*"&amp;$A78&amp;"*",'Diags Raw Data'!$L$6:$L$3786)</f>
        <v>2</v>
      </c>
      <c r="K78" s="499" cm="1">
        <f t="array" ref="K78">IF(D78="",0, SUMPRODUCT(--(ISNUMBER(SEARCH($A78,'Diags Raw Data'!$A$6:$A$3786))),'Diags Raw Data'!$L$6:$L$3786,'Diags Raw Data'!$N$6:$N$3786)/J78)</f>
        <v>1</v>
      </c>
      <c r="L78" s="500" cm="1">
        <f t="array" ref="L78">IF(D78="",0, SUMPRODUCT(--(ISNUMBER(SEARCH($A78,'Diags Raw Data'!$A$6:$A$3786))),'Diags Raw Data'!$L$6:$L$3786,'Diags Raw Data'!$P$6:$P$3786)/J78)</f>
        <v>1</v>
      </c>
      <c r="M78" s="501" cm="1">
        <f t="array" ref="M78">SUMPRODUCT(--(ISNUMBER(SEARCH($A78,'Diags Raw Data'!$A$6:$A$3786))),--('Diags Raw Data'!$Q$6:$Q$3786&lt;&gt;"N/A"),'Diags Raw Data'!$R$6:$R$3786)</f>
        <v>2</v>
      </c>
      <c r="N78" s="502" cm="1">
        <f t="array" ref="N78">SUMPRODUCT(--(ISNUMBER(SEARCH($A78,'Diags Raw Data'!$A$6:$A$3786))),--('Diags Raw Data'!$Q$6:$Q$3786&lt;&gt;"N/A"),'Diags Raw Data'!$T$6:$T$3786)+SUMPRODUCT(--(ISNUMBER(SEARCH($A78,'Diags Raw Data'!$A$6:$A$3786))),--('Diags Raw Data'!$Q$6:$Q$3786&lt;&gt;"N/A"),'Diags Raw Data'!$U$6:$U$3786)</f>
        <v>2</v>
      </c>
      <c r="O78" s="503">
        <f t="shared" si="13"/>
        <v>1</v>
      </c>
      <c r="P78" s="504">
        <f>SUMIF('Diags Raw Data'!$A$6:$A$3786,"*"&amp;$A78&amp;"*",'Diags Raw Data'!$Z$6:$Z$3786)</f>
        <v>0</v>
      </c>
      <c r="Q78" s="505">
        <f>SUM(SUMIF('Diags Raw Data'!$A$6:$A$3786,"*"&amp;$A78&amp;"*",'Diags Raw Data'!$AA$6:$AA$3786),SUMIF('Diags Raw Data'!$A$6:$A$3786,"*"&amp;$A78&amp;"*",'Diags Raw Data'!$AB$6:$AB$3786))</f>
        <v>0</v>
      </c>
      <c r="R78" s="506">
        <f t="shared" si="10"/>
        <v>0</v>
      </c>
      <c r="S78" s="506">
        <f t="shared" si="11"/>
        <v>0</v>
      </c>
      <c r="T78" s="507">
        <f t="shared" si="12"/>
        <v>0</v>
      </c>
      <c r="U78" s="453" t="s">
        <v>1112</v>
      </c>
      <c r="V78" s="181"/>
    </row>
    <row r="79" spans="1:22" x14ac:dyDescent="0.25">
      <c r="A79" s="448" t="s">
        <v>668</v>
      </c>
      <c r="B79" s="449" t="str">
        <f>VLOOKUP(A79,'Feature Raw Data'!$A$3:$B$3986,2,FALSE)</f>
        <v>Feature name - EX-FEAT-073</v>
      </c>
      <c r="C79" s="450" t="str">
        <f>VLOOKUP(A79,'Feature Raw Data'!$A$3:$C$3986,3,FALSE)</f>
        <v>P2</v>
      </c>
      <c r="D79" s="451" t="str" cm="1">
        <f t="array" ref="D79">_xlfn.TEXTJOIN("",TRUE,IF(ISNUMBER(SEARCH($A79,'Diags Raw Data'!$A$6:$A$3786)),CONCATENATE('Diags Raw Data'!$H$6:$H$3786,", "),""))</f>
        <v xml:space="preserve">acpaz55.1, </v>
      </c>
      <c r="E79" s="342" t="str">
        <f>VLOOKUP(A79,'Diags Raw Data'!$A$6:$D$3786,4,FALSE)</f>
        <v>I2S Test</v>
      </c>
      <c r="F79" s="342" t="str">
        <f>VLOOKUP(A79,'Feature Raw Data'!$A$3:$E$3986,5,FALSE)</f>
        <v>Legacy</v>
      </c>
      <c r="G79" s="342" t="str">
        <f t="shared" si="8"/>
        <v>Yes</v>
      </c>
      <c r="H79" s="342" t="str">
        <f t="shared" si="9"/>
        <v>Yes</v>
      </c>
      <c r="I79" s="450">
        <f>SUMIF('Diags Raw Data'!$A$6:$A$3786,"*"&amp;$A79&amp;"*",'Diags Raw Data'!$K$6:$K$3786)</f>
        <v>1</v>
      </c>
      <c r="J79" s="452">
        <f>SUMIF('Diags Raw Data'!$A$6:$A$3786,"*"&amp;$A79&amp;"*",'Diags Raw Data'!$L$6:$L$3786)</f>
        <v>1</v>
      </c>
      <c r="K79" s="499" cm="1">
        <f t="array" ref="K79">IF(D79="",0, SUMPRODUCT(--(ISNUMBER(SEARCH($A79,'Diags Raw Data'!$A$6:$A$3786))),'Diags Raw Data'!$L$6:$L$3786,'Diags Raw Data'!$N$6:$N$3786)/J79)</f>
        <v>1</v>
      </c>
      <c r="L79" s="500" cm="1">
        <f t="array" ref="L79">IF(D79="",0, SUMPRODUCT(--(ISNUMBER(SEARCH($A79,'Diags Raw Data'!$A$6:$A$3786))),'Diags Raw Data'!$L$6:$L$3786,'Diags Raw Data'!$P$6:$P$3786)/J79)</f>
        <v>1</v>
      </c>
      <c r="M79" s="501" cm="1">
        <f t="array" ref="M79">SUMPRODUCT(--(ISNUMBER(SEARCH($A79,'Diags Raw Data'!$A$6:$A$3786))),--('Diags Raw Data'!$Q$6:$Q$3786&lt;&gt;"N/A"),'Diags Raw Data'!$R$6:$R$3786)</f>
        <v>1</v>
      </c>
      <c r="N79" s="502" cm="1">
        <f t="array" ref="N79">SUMPRODUCT(--(ISNUMBER(SEARCH($A79,'Diags Raw Data'!$A$6:$A$3786))),--('Diags Raw Data'!$Q$6:$Q$3786&lt;&gt;"N/A"),'Diags Raw Data'!$T$6:$T$3786)+SUMPRODUCT(--(ISNUMBER(SEARCH($A79,'Diags Raw Data'!$A$6:$A$3786))),--('Diags Raw Data'!$Q$6:$Q$3786&lt;&gt;"N/A"),'Diags Raw Data'!$U$6:$U$3786)</f>
        <v>1</v>
      </c>
      <c r="O79" s="503">
        <f t="shared" si="13"/>
        <v>1</v>
      </c>
      <c r="P79" s="504">
        <f>SUMIF('Diags Raw Data'!$A$6:$A$3786,"*"&amp;$A79&amp;"*",'Diags Raw Data'!$Z$6:$Z$3786)</f>
        <v>0</v>
      </c>
      <c r="Q79" s="505">
        <f>SUM(SUMIF('Diags Raw Data'!$A$6:$A$3786,"*"&amp;$A79&amp;"*",'Diags Raw Data'!$AA$6:$AA$3786),SUMIF('Diags Raw Data'!$A$6:$A$3786,"*"&amp;$A79&amp;"*",'Diags Raw Data'!$AB$6:$AB$3786))</f>
        <v>0</v>
      </c>
      <c r="R79" s="506">
        <f t="shared" si="10"/>
        <v>0</v>
      </c>
      <c r="S79" s="506">
        <f t="shared" si="11"/>
        <v>0</v>
      </c>
      <c r="T79" s="507">
        <f t="shared" si="12"/>
        <v>0</v>
      </c>
      <c r="U79" s="453" t="s">
        <v>1113</v>
      </c>
      <c r="V79" s="181"/>
    </row>
    <row r="80" spans="1:22" x14ac:dyDescent="0.25">
      <c r="A80" s="448" t="s">
        <v>670</v>
      </c>
      <c r="B80" s="449" t="str">
        <f>VLOOKUP(A80,'Feature Raw Data'!$A$3:$B$3986,2,FALSE)</f>
        <v>Feature name - EX-FEAT-074</v>
      </c>
      <c r="C80" s="450" t="str">
        <f>VLOOKUP(A80,'Feature Raw Data'!$A$3:$C$3986,3,FALSE)</f>
        <v>P2</v>
      </c>
      <c r="D80" s="451" t="str" cm="1">
        <f t="array" ref="D80">_xlfn.TEXTJOIN("",TRUE,IF(ISNUMBER(SEARCH($A80,'Diags Raw Data'!$A$6:$A$3786)),CONCATENATE('Diags Raw Data'!$H$6:$H$3786,", "),""))</f>
        <v xml:space="preserve">acpaz58.1-2, </v>
      </c>
      <c r="E80" s="342" t="str">
        <f>VLOOKUP(A80,'Diags Raw Data'!$A$6:$D$3786,4,FALSE)</f>
        <v>I2S Test</v>
      </c>
      <c r="F80" s="342" t="str">
        <f>VLOOKUP(A80,'Feature Raw Data'!$A$3:$E$3986,5,FALSE)</f>
        <v>Legacy</v>
      </c>
      <c r="G80" s="342" t="str">
        <f t="shared" si="8"/>
        <v>Yes</v>
      </c>
      <c r="H80" s="342" t="str">
        <f t="shared" si="9"/>
        <v>Yes</v>
      </c>
      <c r="I80" s="450">
        <f>SUMIF('Diags Raw Data'!$A$6:$A$3786,"*"&amp;$A80&amp;"*",'Diags Raw Data'!$K$6:$K$3786)</f>
        <v>1</v>
      </c>
      <c r="J80" s="452">
        <f>SUMIF('Diags Raw Data'!$A$6:$A$3786,"*"&amp;$A80&amp;"*",'Diags Raw Data'!$L$6:$L$3786)</f>
        <v>2</v>
      </c>
      <c r="K80" s="499" cm="1">
        <f t="array" ref="K80">IF(D80="",0, SUMPRODUCT(--(ISNUMBER(SEARCH($A80,'Diags Raw Data'!$A$6:$A$3786))),'Diags Raw Data'!$L$6:$L$3786,'Diags Raw Data'!$N$6:$N$3786)/J80)</f>
        <v>1</v>
      </c>
      <c r="L80" s="500" cm="1">
        <f t="array" ref="L80">IF(D80="",0, SUMPRODUCT(--(ISNUMBER(SEARCH($A80,'Diags Raw Data'!$A$6:$A$3786))),'Diags Raw Data'!$L$6:$L$3786,'Diags Raw Data'!$P$6:$P$3786)/J80)</f>
        <v>1</v>
      </c>
      <c r="M80" s="501" cm="1">
        <f t="array" ref="M80">SUMPRODUCT(--(ISNUMBER(SEARCH($A80,'Diags Raw Data'!$A$6:$A$3786))),--('Diags Raw Data'!$Q$6:$Q$3786&lt;&gt;"N/A"),'Diags Raw Data'!$R$6:$R$3786)</f>
        <v>2</v>
      </c>
      <c r="N80" s="502" cm="1">
        <f t="array" ref="N80">SUMPRODUCT(--(ISNUMBER(SEARCH($A80,'Diags Raw Data'!$A$6:$A$3786))),--('Diags Raw Data'!$Q$6:$Q$3786&lt;&gt;"N/A"),'Diags Raw Data'!$T$6:$T$3786)+SUMPRODUCT(--(ISNUMBER(SEARCH($A80,'Diags Raw Data'!$A$6:$A$3786))),--('Diags Raw Data'!$Q$6:$Q$3786&lt;&gt;"N/A"),'Diags Raw Data'!$U$6:$U$3786)</f>
        <v>2</v>
      </c>
      <c r="O80" s="503">
        <f t="shared" si="13"/>
        <v>1</v>
      </c>
      <c r="P80" s="504">
        <f>SUMIF('Diags Raw Data'!$A$6:$A$3786,"*"&amp;$A80&amp;"*",'Diags Raw Data'!$Z$6:$Z$3786)</f>
        <v>0</v>
      </c>
      <c r="Q80" s="505">
        <f>SUM(SUMIF('Diags Raw Data'!$A$6:$A$3786,"*"&amp;$A80&amp;"*",'Diags Raw Data'!$AA$6:$AA$3786),SUMIF('Diags Raw Data'!$A$6:$A$3786,"*"&amp;$A80&amp;"*",'Diags Raw Data'!$AB$6:$AB$3786))</f>
        <v>0</v>
      </c>
      <c r="R80" s="506">
        <f t="shared" si="10"/>
        <v>0</v>
      </c>
      <c r="S80" s="506">
        <f t="shared" si="11"/>
        <v>0</v>
      </c>
      <c r="T80" s="507">
        <f t="shared" si="12"/>
        <v>0</v>
      </c>
      <c r="U80" s="453" t="s">
        <v>47</v>
      </c>
      <c r="V80" s="181"/>
    </row>
    <row r="81" spans="1:22" x14ac:dyDescent="0.25">
      <c r="A81" s="448" t="s">
        <v>675</v>
      </c>
      <c r="B81" s="449" t="str">
        <f>VLOOKUP(A81,'Feature Raw Data'!$A$3:$B$3986,2,FALSE)</f>
        <v>Feature name - EX-FEAT-075</v>
      </c>
      <c r="C81" s="450" t="str">
        <f>VLOOKUP(A81,'Feature Raw Data'!$A$3:$C$3986,3,FALSE)</f>
        <v>P2</v>
      </c>
      <c r="D81" s="451" t="str" cm="1">
        <f t="array" ref="D81">_xlfn.TEXTJOIN("",TRUE,IF(ISNUMBER(SEARCH($A81,'Diags Raw Data'!$A$6:$A$3786)),CONCATENATE('Diags Raw Data'!$H$6:$H$3786,", "),""))</f>
        <v xml:space="preserve">acpaz344, </v>
      </c>
      <c r="E81" s="342" t="str">
        <f>VLOOKUP(A81,'Diags Raw Data'!$A$6:$D$3786,4,FALSE)</f>
        <v>I2S Test</v>
      </c>
      <c r="F81" s="342" t="str">
        <f>VLOOKUP(A81,'Feature Raw Data'!$A$3:$E$3986,5,FALSE)</f>
        <v>Legacy</v>
      </c>
      <c r="G81" s="342" t="str">
        <f t="shared" si="8"/>
        <v>Yes</v>
      </c>
      <c r="H81" s="342" t="str">
        <f t="shared" si="9"/>
        <v>Yes</v>
      </c>
      <c r="I81" s="450">
        <f>SUMIF('Diags Raw Data'!$A$6:$A$3786,"*"&amp;$A81&amp;"*",'Diags Raw Data'!$K$6:$K$3786)</f>
        <v>1</v>
      </c>
      <c r="J81" s="452">
        <f>SUMIF('Diags Raw Data'!$A$6:$A$3786,"*"&amp;$A81&amp;"*",'Diags Raw Data'!$L$6:$L$3786)</f>
        <v>1</v>
      </c>
      <c r="K81" s="499" cm="1">
        <f t="array" ref="K81">IF(D81="",0, SUMPRODUCT(--(ISNUMBER(SEARCH($A81,'Diags Raw Data'!$A$6:$A$3786))),'Diags Raw Data'!$L$6:$L$3786,'Diags Raw Data'!$N$6:$N$3786)/J81)</f>
        <v>1</v>
      </c>
      <c r="L81" s="500" cm="1">
        <f t="array" ref="L81">IF(D81="",0, SUMPRODUCT(--(ISNUMBER(SEARCH($A81,'Diags Raw Data'!$A$6:$A$3786))),'Diags Raw Data'!$L$6:$L$3786,'Diags Raw Data'!$P$6:$P$3786)/J81)</f>
        <v>1</v>
      </c>
      <c r="M81" s="501" cm="1">
        <f t="array" ref="M81">SUMPRODUCT(--(ISNUMBER(SEARCH($A81,'Diags Raw Data'!$A$6:$A$3786))),--('Diags Raw Data'!$Q$6:$Q$3786&lt;&gt;"N/A"),'Diags Raw Data'!$R$6:$R$3786)</f>
        <v>1</v>
      </c>
      <c r="N81" s="502" cm="1">
        <f t="array" ref="N81">SUMPRODUCT(--(ISNUMBER(SEARCH($A81,'Diags Raw Data'!$A$6:$A$3786))),--('Diags Raw Data'!$Q$6:$Q$3786&lt;&gt;"N/A"),'Diags Raw Data'!$T$6:$T$3786)+SUMPRODUCT(--(ISNUMBER(SEARCH($A81,'Diags Raw Data'!$A$6:$A$3786))),--('Diags Raw Data'!$Q$6:$Q$3786&lt;&gt;"N/A"),'Diags Raw Data'!$U$6:$U$3786)</f>
        <v>1</v>
      </c>
      <c r="O81" s="503">
        <f t="shared" si="13"/>
        <v>1</v>
      </c>
      <c r="P81" s="504">
        <f>SUMIF('Diags Raw Data'!$A$6:$A$3786,"*"&amp;$A81&amp;"*",'Diags Raw Data'!$Z$6:$Z$3786)</f>
        <v>0</v>
      </c>
      <c r="Q81" s="505">
        <f>SUM(SUMIF('Diags Raw Data'!$A$6:$A$3786,"*"&amp;$A81&amp;"*",'Diags Raw Data'!$AA$6:$AA$3786),SUMIF('Diags Raw Data'!$A$6:$A$3786,"*"&amp;$A81&amp;"*",'Diags Raw Data'!$AB$6:$AB$3786))</f>
        <v>0</v>
      </c>
      <c r="R81" s="506">
        <f t="shared" si="10"/>
        <v>0</v>
      </c>
      <c r="S81" s="506">
        <f t="shared" si="11"/>
        <v>0</v>
      </c>
      <c r="T81" s="507">
        <f t="shared" si="12"/>
        <v>0</v>
      </c>
      <c r="U81" s="453" t="s">
        <v>277</v>
      </c>
      <c r="V81" s="181"/>
    </row>
    <row r="82" spans="1:22" x14ac:dyDescent="0.25">
      <c r="A82" s="448" t="s">
        <v>680</v>
      </c>
      <c r="B82" s="449" t="str">
        <f>VLOOKUP(A82,'Feature Raw Data'!$A$3:$B$3986,2,FALSE)</f>
        <v>Feature name - EX-FEAT-076</v>
      </c>
      <c r="C82" s="450" t="str">
        <f>VLOOKUP(A82,'Feature Raw Data'!$A$3:$C$3986,3,FALSE)</f>
        <v>P2</v>
      </c>
      <c r="D82" s="451" t="str" cm="1">
        <f t="array" ref="D82">_xlfn.TEXTJOIN("",TRUE,IF(ISNUMBER(SEARCH($A82,'Diags Raw Data'!$A$6:$A$3786)),CONCATENATE('Diags Raw Data'!$H$6:$H$3786,", "),""))</f>
        <v xml:space="preserve">acpaz55.1, </v>
      </c>
      <c r="E82" s="342" t="str">
        <f>VLOOKUP(A82,'Diags Raw Data'!$A$6:$D$3786,4,FALSE)</f>
        <v>I2S Test</v>
      </c>
      <c r="F82" s="342" t="str">
        <f>VLOOKUP(A82,'Feature Raw Data'!$A$3:$E$3986,5,FALSE)</f>
        <v>Legacy</v>
      </c>
      <c r="G82" s="342" t="str">
        <f t="shared" ref="G82:G106" si="14">IF(D82="","No","Yes")</f>
        <v>Yes</v>
      </c>
      <c r="H82" s="342" t="str">
        <f t="shared" ref="H82:H106" si="15">IF(D82="","No","Yes")</f>
        <v>Yes</v>
      </c>
      <c r="I82" s="450">
        <f>SUMIF('Diags Raw Data'!$A$6:$A$3786,"*"&amp;$A82&amp;"*",'Diags Raw Data'!$K$6:$K$3786)</f>
        <v>1</v>
      </c>
      <c r="J82" s="452">
        <f>SUMIF('Diags Raw Data'!$A$6:$A$3786,"*"&amp;$A82&amp;"*",'Diags Raw Data'!$L$6:$L$3786)</f>
        <v>1</v>
      </c>
      <c r="K82" s="499" cm="1">
        <f t="array" ref="K82">IF(D82="",0, SUMPRODUCT(--(ISNUMBER(SEARCH($A82,'Diags Raw Data'!$A$6:$A$3786))),'Diags Raw Data'!$L$6:$L$3786,'Diags Raw Data'!$N$6:$N$3786)/J82)</f>
        <v>1</v>
      </c>
      <c r="L82" s="500" cm="1">
        <f t="array" ref="L82">IF(D82="",0, SUMPRODUCT(--(ISNUMBER(SEARCH($A82,'Diags Raw Data'!$A$6:$A$3786))),'Diags Raw Data'!$L$6:$L$3786,'Diags Raw Data'!$P$6:$P$3786)/J82)</f>
        <v>1</v>
      </c>
      <c r="M82" s="501" cm="1">
        <f t="array" ref="M82">SUMPRODUCT(--(ISNUMBER(SEARCH($A82,'Diags Raw Data'!$A$6:$A$3786))),--('Diags Raw Data'!$Q$6:$Q$3786&lt;&gt;"N/A"),'Diags Raw Data'!$R$6:$R$3786)</f>
        <v>1</v>
      </c>
      <c r="N82" s="502" cm="1">
        <f t="array" ref="N82">SUMPRODUCT(--(ISNUMBER(SEARCH($A82,'Diags Raw Data'!$A$6:$A$3786))),--('Diags Raw Data'!$Q$6:$Q$3786&lt;&gt;"N/A"),'Diags Raw Data'!$T$6:$T$3786)+SUMPRODUCT(--(ISNUMBER(SEARCH($A82,'Diags Raw Data'!$A$6:$A$3786))),--('Diags Raw Data'!$Q$6:$Q$3786&lt;&gt;"N/A"),'Diags Raw Data'!$U$6:$U$3786)</f>
        <v>1</v>
      </c>
      <c r="O82" s="503">
        <f t="shared" ref="O82:O89" si="16">IF((M82=0),0,N82/M82)</f>
        <v>1</v>
      </c>
      <c r="P82" s="504">
        <f>SUMIF('Diags Raw Data'!$A$6:$A$3786,"*"&amp;$A82&amp;"*",'Diags Raw Data'!$Z$6:$Z$3786)</f>
        <v>0</v>
      </c>
      <c r="Q82" s="505">
        <f>SUM(SUMIF('Diags Raw Data'!$A$6:$A$3786,"*"&amp;$A82&amp;"*",'Diags Raw Data'!$AA$6:$AA$3786),SUMIF('Diags Raw Data'!$A$6:$A$3786,"*"&amp;$A82&amp;"*",'Diags Raw Data'!$AB$6:$AB$3786))</f>
        <v>0</v>
      </c>
      <c r="R82" s="506">
        <f t="shared" ref="R82:R89" si="17">IF((J82=0),0,P82/J82)</f>
        <v>0</v>
      </c>
      <c r="S82" s="506">
        <f t="shared" ref="S82:S89" si="18">IF((P82=0),0,Q82/P82)</f>
        <v>0</v>
      </c>
      <c r="T82" s="507">
        <f t="shared" ref="T82:T89" si="19">R82*S82</f>
        <v>0</v>
      </c>
      <c r="U82" s="453" t="s">
        <v>1112</v>
      </c>
      <c r="V82" s="181"/>
    </row>
    <row r="83" spans="1:22" x14ac:dyDescent="0.25">
      <c r="A83" s="448" t="s">
        <v>682</v>
      </c>
      <c r="B83" s="449" t="str">
        <f>VLOOKUP(A83,'Feature Raw Data'!$A$3:$B$3986,2,FALSE)</f>
        <v>Feature name - EX-FEAT-077</v>
      </c>
      <c r="C83" s="450" t="str">
        <f>VLOOKUP(A83,'Feature Raw Data'!$A$3:$C$3986,3,FALSE)</f>
        <v>P2</v>
      </c>
      <c r="D83" s="451" t="str" cm="1">
        <f t="array" ref="D83">_xlfn.TEXTJOIN("",TRUE,IF(ISNUMBER(SEARCH($A83,'Diags Raw Data'!$A$6:$A$3786)),CONCATENATE('Diags Raw Data'!$H$6:$H$3786,", "),""))</f>
        <v xml:space="preserve">Manual, </v>
      </c>
      <c r="E83" s="342" t="str">
        <f>VLOOKUP(A83,'Diags Raw Data'!$A$6:$D$3786,4,FALSE)</f>
        <v>LRCLK</v>
      </c>
      <c r="F83" s="342" t="str">
        <f>VLOOKUP(A83,'Feature Raw Data'!$A$3:$E$3986,5,FALSE)</f>
        <v>Legacy</v>
      </c>
      <c r="G83" s="342" t="str">
        <f t="shared" si="14"/>
        <v>Yes</v>
      </c>
      <c r="H83" s="342" t="str">
        <f t="shared" si="15"/>
        <v>Yes</v>
      </c>
      <c r="I83" s="450">
        <f>SUMIF('Diags Raw Data'!$A$6:$A$3786,"*"&amp;$A83&amp;"*",'Diags Raw Data'!$K$6:$K$3786)</f>
        <v>1</v>
      </c>
      <c r="J83" s="452">
        <f>SUMIF('Diags Raw Data'!$A$6:$A$3786,"*"&amp;$A83&amp;"*",'Diags Raw Data'!$L$6:$L$3786)</f>
        <v>1</v>
      </c>
      <c r="K83" s="499" cm="1">
        <f t="array" ref="K83">IF(D83="",0, SUMPRODUCT(--(ISNUMBER(SEARCH($A83,'Diags Raw Data'!$A$6:$A$3786))),'Diags Raw Data'!$L$6:$L$3786,'Diags Raw Data'!$N$6:$N$3786)/J83)</f>
        <v>1</v>
      </c>
      <c r="L83" s="500" cm="1">
        <f t="array" ref="L83">IF(D83="",0, SUMPRODUCT(--(ISNUMBER(SEARCH($A83,'Diags Raw Data'!$A$6:$A$3786))),'Diags Raw Data'!$L$6:$L$3786,'Diags Raw Data'!$P$6:$P$3786)/J83)</f>
        <v>1</v>
      </c>
      <c r="M83" s="501" cm="1">
        <f t="array" ref="M83">SUMPRODUCT(--(ISNUMBER(SEARCH($A83,'Diags Raw Data'!$A$6:$A$3786))),--('Diags Raw Data'!$Q$6:$Q$3786&lt;&gt;"N/A"),'Diags Raw Data'!$R$6:$R$3786)</f>
        <v>1</v>
      </c>
      <c r="N83" s="502" cm="1">
        <f t="array" ref="N83">SUMPRODUCT(--(ISNUMBER(SEARCH($A83,'Diags Raw Data'!$A$6:$A$3786))),--('Diags Raw Data'!$Q$6:$Q$3786&lt;&gt;"N/A"),'Diags Raw Data'!$T$6:$T$3786)+SUMPRODUCT(--(ISNUMBER(SEARCH($A83,'Diags Raw Data'!$A$6:$A$3786))),--('Diags Raw Data'!$Q$6:$Q$3786&lt;&gt;"N/A"),'Diags Raw Data'!$U$6:$U$3786)</f>
        <v>1</v>
      </c>
      <c r="O83" s="503">
        <f t="shared" si="16"/>
        <v>1</v>
      </c>
      <c r="P83" s="504">
        <f>SUMIF('Diags Raw Data'!$A$6:$A$3786,"*"&amp;$A83&amp;"*",'Diags Raw Data'!$Z$6:$Z$3786)</f>
        <v>0</v>
      </c>
      <c r="Q83" s="505">
        <f>SUM(SUMIF('Diags Raw Data'!$A$6:$A$3786,"*"&amp;$A83&amp;"*",'Diags Raw Data'!$AA$6:$AA$3786),SUMIF('Diags Raw Data'!$A$6:$A$3786,"*"&amp;$A83&amp;"*",'Diags Raw Data'!$AB$6:$AB$3786))</f>
        <v>0</v>
      </c>
      <c r="R83" s="506">
        <f t="shared" si="17"/>
        <v>0</v>
      </c>
      <c r="S83" s="506">
        <f t="shared" si="18"/>
        <v>0</v>
      </c>
      <c r="T83" s="507">
        <f t="shared" si="19"/>
        <v>0</v>
      </c>
      <c r="U83" s="453" t="s">
        <v>286</v>
      </c>
      <c r="V83" s="181"/>
    </row>
    <row r="84" spans="1:22" ht="30" x14ac:dyDescent="0.25">
      <c r="A84" s="448" t="s">
        <v>685</v>
      </c>
      <c r="B84" s="449" t="str">
        <f>VLOOKUP(A84,'Feature Raw Data'!$A$3:$B$3986,2,FALSE)</f>
        <v>Feature name - EX-FEAT-078</v>
      </c>
      <c r="C84" s="450" t="str">
        <f>VLOOKUP(A84,'Feature Raw Data'!$A$3:$C$3986,3,FALSE)</f>
        <v>P2</v>
      </c>
      <c r="D84" s="451" t="str" cm="1">
        <f t="array" ref="D84">_xlfn.TEXTJOIN("",TRUE,IF(ISNUMBER(SEARCH($A84,'Diags Raw Data'!$A$6:$A$3786)),CONCATENATE('Diags Raw Data'!$H$6:$H$3786,", "),""))</f>
        <v xml:space="preserve">Manual, </v>
      </c>
      <c r="E84" s="342" t="str">
        <f>VLOOKUP(A84,'Diags Raw Data'!$A$6:$D$3786,4,FALSE)</f>
        <v>Debug bus connectivity</v>
      </c>
      <c r="F84" s="342" t="str">
        <f>VLOOKUP(A84,'Feature Raw Data'!$A$3:$E$3986,5,FALSE)</f>
        <v>Legacy</v>
      </c>
      <c r="G84" s="342" t="str">
        <f t="shared" si="14"/>
        <v>Yes</v>
      </c>
      <c r="H84" s="342" t="str">
        <f t="shared" si="15"/>
        <v>Yes</v>
      </c>
      <c r="I84" s="450">
        <f>SUMIF('Diags Raw Data'!$A$6:$A$3786,"*"&amp;$A84&amp;"*",'Diags Raw Data'!$K$6:$K$3786)</f>
        <v>1</v>
      </c>
      <c r="J84" s="452">
        <f>SUMIF('Diags Raw Data'!$A$6:$A$3786,"*"&amp;$A84&amp;"*",'Diags Raw Data'!$L$6:$L$3786)</f>
        <v>1</v>
      </c>
      <c r="K84" s="499" cm="1">
        <f t="array" ref="K84">IF(D84="",0, SUMPRODUCT(--(ISNUMBER(SEARCH($A84,'Diags Raw Data'!$A$6:$A$3786))),'Diags Raw Data'!$L$6:$L$3786,'Diags Raw Data'!$N$6:$N$3786)/J84)</f>
        <v>1</v>
      </c>
      <c r="L84" s="500" cm="1">
        <f t="array" ref="L84">IF(D84="",0, SUMPRODUCT(--(ISNUMBER(SEARCH($A84,'Diags Raw Data'!$A$6:$A$3786))),'Diags Raw Data'!$L$6:$L$3786,'Diags Raw Data'!$P$6:$P$3786)/J84)</f>
        <v>1</v>
      </c>
      <c r="M84" s="501" cm="1">
        <f t="array" ref="M84">SUMPRODUCT(--(ISNUMBER(SEARCH($A84,'Diags Raw Data'!$A$6:$A$3786))),--('Diags Raw Data'!$Q$6:$Q$3786&lt;&gt;"N/A"),'Diags Raw Data'!$R$6:$R$3786)</f>
        <v>1</v>
      </c>
      <c r="N84" s="502" cm="1">
        <f t="array" ref="N84">SUMPRODUCT(--(ISNUMBER(SEARCH($A84,'Diags Raw Data'!$A$6:$A$3786))),--('Diags Raw Data'!$Q$6:$Q$3786&lt;&gt;"N/A"),'Diags Raw Data'!$T$6:$T$3786)+SUMPRODUCT(--(ISNUMBER(SEARCH($A84,'Diags Raw Data'!$A$6:$A$3786))),--('Diags Raw Data'!$Q$6:$Q$3786&lt;&gt;"N/A"),'Diags Raw Data'!$U$6:$U$3786)</f>
        <v>1</v>
      </c>
      <c r="O84" s="503">
        <f t="shared" si="16"/>
        <v>1</v>
      </c>
      <c r="P84" s="504">
        <f>SUMIF('Diags Raw Data'!$A$6:$A$3786,"*"&amp;$A84&amp;"*",'Diags Raw Data'!$Z$6:$Z$3786)</f>
        <v>0</v>
      </c>
      <c r="Q84" s="505">
        <f>SUM(SUMIF('Diags Raw Data'!$A$6:$A$3786,"*"&amp;$A84&amp;"*",'Diags Raw Data'!$AA$6:$AA$3786),SUMIF('Diags Raw Data'!$A$6:$A$3786,"*"&amp;$A84&amp;"*",'Diags Raw Data'!$AB$6:$AB$3786))</f>
        <v>0</v>
      </c>
      <c r="R84" s="506">
        <f t="shared" si="17"/>
        <v>0</v>
      </c>
      <c r="S84" s="506">
        <f t="shared" si="18"/>
        <v>0</v>
      </c>
      <c r="T84" s="507">
        <f t="shared" si="19"/>
        <v>0</v>
      </c>
      <c r="U84" s="453" t="s">
        <v>1113</v>
      </c>
      <c r="V84" s="181"/>
    </row>
    <row r="85" spans="1:22" x14ac:dyDescent="0.25">
      <c r="A85" s="448" t="s">
        <v>687</v>
      </c>
      <c r="B85" s="449" t="str">
        <f>VLOOKUP(A85,'Feature Raw Data'!$A$3:$B$3986,2,FALSE)</f>
        <v>Feature name - EX-FEAT-079</v>
      </c>
      <c r="C85" s="450" t="str">
        <f>VLOOKUP(A85,'Feature Raw Data'!$A$3:$C$3986,3,FALSE)</f>
        <v>P2</v>
      </c>
      <c r="D85" s="451" t="str" cm="1">
        <f t="array" ref="D85">_xlfn.TEXTJOIN("",TRUE,IF(ISNUMBER(SEARCH($A85,'Diags Raw Data'!$A$6:$A$3786)),CONCATENATE('Diags Raw Data'!$H$6:$H$3786,", "),""))</f>
        <v xml:space="preserve">acpaz1.1-2, </v>
      </c>
      <c r="E85" s="342" t="str">
        <f>VLOOKUP(A85,'Diags Raw Data'!$A$6:$D$3786,4,FALSE)</f>
        <v>Register Test</v>
      </c>
      <c r="F85" s="342" t="str">
        <f>VLOOKUP(A85,'Feature Raw Data'!$A$3:$E$3986,5,FALSE)</f>
        <v>Legacy</v>
      </c>
      <c r="G85" s="342" t="str">
        <f t="shared" si="14"/>
        <v>Yes</v>
      </c>
      <c r="H85" s="342" t="str">
        <f t="shared" si="15"/>
        <v>Yes</v>
      </c>
      <c r="I85" s="450">
        <f>SUMIF('Diags Raw Data'!$A$6:$A$3786,"*"&amp;$A85&amp;"*",'Diags Raw Data'!$K$6:$K$3786)</f>
        <v>1</v>
      </c>
      <c r="J85" s="452">
        <f>SUMIF('Diags Raw Data'!$A$6:$A$3786,"*"&amp;$A85&amp;"*",'Diags Raw Data'!$L$6:$L$3786)</f>
        <v>2</v>
      </c>
      <c r="K85" s="499" cm="1">
        <f t="array" ref="K85">IF(D85="",0, SUMPRODUCT(--(ISNUMBER(SEARCH($A85,'Diags Raw Data'!$A$6:$A$3786))),'Diags Raw Data'!$L$6:$L$3786,'Diags Raw Data'!$N$6:$N$3786)/J85)</f>
        <v>1</v>
      </c>
      <c r="L85" s="500" cm="1">
        <f t="array" ref="L85">IF(D85="",0, SUMPRODUCT(--(ISNUMBER(SEARCH($A85,'Diags Raw Data'!$A$6:$A$3786))),'Diags Raw Data'!$L$6:$L$3786,'Diags Raw Data'!$P$6:$P$3786)/J85)</f>
        <v>1</v>
      </c>
      <c r="M85" s="501" cm="1">
        <f t="array" ref="M85">SUMPRODUCT(--(ISNUMBER(SEARCH($A85,'Diags Raw Data'!$A$6:$A$3786))),--('Diags Raw Data'!$Q$6:$Q$3786&lt;&gt;"N/A"),'Diags Raw Data'!$R$6:$R$3786)</f>
        <v>2</v>
      </c>
      <c r="N85" s="502" cm="1">
        <f t="array" ref="N85">SUMPRODUCT(--(ISNUMBER(SEARCH($A85,'Diags Raw Data'!$A$6:$A$3786))),--('Diags Raw Data'!$Q$6:$Q$3786&lt;&gt;"N/A"),'Diags Raw Data'!$T$6:$T$3786)+SUMPRODUCT(--(ISNUMBER(SEARCH($A85,'Diags Raw Data'!$A$6:$A$3786))),--('Diags Raw Data'!$Q$6:$Q$3786&lt;&gt;"N/A"),'Diags Raw Data'!$U$6:$U$3786)</f>
        <v>2</v>
      </c>
      <c r="O85" s="503">
        <f t="shared" si="16"/>
        <v>1</v>
      </c>
      <c r="P85" s="504">
        <f>SUMIF('Diags Raw Data'!$A$6:$A$3786,"*"&amp;$A85&amp;"*",'Diags Raw Data'!$Z$6:$Z$3786)</f>
        <v>0</v>
      </c>
      <c r="Q85" s="505">
        <f>SUM(SUMIF('Diags Raw Data'!$A$6:$A$3786,"*"&amp;$A85&amp;"*",'Diags Raw Data'!$AA$6:$AA$3786),SUMIF('Diags Raw Data'!$A$6:$A$3786,"*"&amp;$A85&amp;"*",'Diags Raw Data'!$AB$6:$AB$3786))</f>
        <v>0</v>
      </c>
      <c r="R85" s="506">
        <f t="shared" si="17"/>
        <v>0</v>
      </c>
      <c r="S85" s="506">
        <f t="shared" si="18"/>
        <v>0</v>
      </c>
      <c r="T85" s="507">
        <f t="shared" si="19"/>
        <v>0</v>
      </c>
      <c r="U85" s="453" t="s">
        <v>1112</v>
      </c>
      <c r="V85" s="181"/>
    </row>
    <row r="86" spans="1:22" x14ac:dyDescent="0.25">
      <c r="A86" s="448" t="s">
        <v>694</v>
      </c>
      <c r="B86" s="449" t="str">
        <f>VLOOKUP(A86,'Feature Raw Data'!$A$3:$B$3986,2,FALSE)</f>
        <v>Feature name - EX-FEAT-080</v>
      </c>
      <c r="C86" s="450" t="str">
        <f>VLOOKUP(A86,'Feature Raw Data'!$A$3:$C$3986,3,FALSE)</f>
        <v>P2</v>
      </c>
      <c r="D86" s="451" t="str" cm="1">
        <f t="array" ref="D86">_xlfn.TEXTJOIN("",TRUE,IF(ISNUMBER(SEARCH($A86,'Diags Raw Data'!$A$6:$A$3786)),CONCATENATE('Diags Raw Data'!$H$6:$H$3786,", "),""))</f>
        <v xml:space="preserve">acpz33, </v>
      </c>
      <c r="E86" s="342" t="str">
        <f>VLOOKUP(A86,'Diags Raw Data'!$A$6:$D$3786,4,FALSE)</f>
        <v>Register Test</v>
      </c>
      <c r="F86" s="342" t="str">
        <f>VLOOKUP(A86,'Feature Raw Data'!$A$3:$E$3986,5,FALSE)</f>
        <v>Legacy</v>
      </c>
      <c r="G86" s="342" t="str">
        <f t="shared" si="14"/>
        <v>Yes</v>
      </c>
      <c r="H86" s="342" t="str">
        <f t="shared" si="15"/>
        <v>Yes</v>
      </c>
      <c r="I86" s="450">
        <f>SUMIF('Diags Raw Data'!$A$6:$A$3786,"*"&amp;$A86&amp;"*",'Diags Raw Data'!$K$6:$K$3786)</f>
        <v>1</v>
      </c>
      <c r="J86" s="452">
        <f>SUMIF('Diags Raw Data'!$A$6:$A$3786,"*"&amp;$A86&amp;"*",'Diags Raw Data'!$L$6:$L$3786)</f>
        <v>1</v>
      </c>
      <c r="K86" s="499" cm="1">
        <f t="array" ref="K86">IF(D86="",0, SUMPRODUCT(--(ISNUMBER(SEARCH($A86,'Diags Raw Data'!$A$6:$A$3786))),'Diags Raw Data'!$L$6:$L$3786,'Diags Raw Data'!$N$6:$N$3786)/J86)</f>
        <v>1</v>
      </c>
      <c r="L86" s="500" cm="1">
        <f t="array" ref="L86">IF(D86="",0, SUMPRODUCT(--(ISNUMBER(SEARCH($A86,'Diags Raw Data'!$A$6:$A$3786))),'Diags Raw Data'!$L$6:$L$3786,'Diags Raw Data'!$P$6:$P$3786)/J86)</f>
        <v>1</v>
      </c>
      <c r="M86" s="501" cm="1">
        <f t="array" ref="M86">SUMPRODUCT(--(ISNUMBER(SEARCH($A86,'Diags Raw Data'!$A$6:$A$3786))),--('Diags Raw Data'!$Q$6:$Q$3786&lt;&gt;"N/A"),'Diags Raw Data'!$R$6:$R$3786)</f>
        <v>1</v>
      </c>
      <c r="N86" s="502" cm="1">
        <f t="array" ref="N86">SUMPRODUCT(--(ISNUMBER(SEARCH($A86,'Diags Raw Data'!$A$6:$A$3786))),--('Diags Raw Data'!$Q$6:$Q$3786&lt;&gt;"N/A"),'Diags Raw Data'!$T$6:$T$3786)+SUMPRODUCT(--(ISNUMBER(SEARCH($A86,'Diags Raw Data'!$A$6:$A$3786))),--('Diags Raw Data'!$Q$6:$Q$3786&lt;&gt;"N/A"),'Diags Raw Data'!$U$6:$U$3786)</f>
        <v>1</v>
      </c>
      <c r="O86" s="503">
        <f t="shared" si="16"/>
        <v>1</v>
      </c>
      <c r="P86" s="504">
        <f>SUMIF('Diags Raw Data'!$A$6:$A$3786,"*"&amp;$A86&amp;"*",'Diags Raw Data'!$Z$6:$Z$3786)</f>
        <v>0</v>
      </c>
      <c r="Q86" s="505">
        <f>SUM(SUMIF('Diags Raw Data'!$A$6:$A$3786,"*"&amp;$A86&amp;"*",'Diags Raw Data'!$AA$6:$AA$3786),SUMIF('Diags Raw Data'!$A$6:$A$3786,"*"&amp;$A86&amp;"*",'Diags Raw Data'!$AB$6:$AB$3786))</f>
        <v>0</v>
      </c>
      <c r="R86" s="506">
        <f t="shared" si="17"/>
        <v>0</v>
      </c>
      <c r="S86" s="506">
        <f t="shared" si="18"/>
        <v>0</v>
      </c>
      <c r="T86" s="507">
        <f t="shared" si="19"/>
        <v>0</v>
      </c>
      <c r="U86" s="453" t="s">
        <v>1112</v>
      </c>
      <c r="V86" s="181"/>
    </row>
    <row r="87" spans="1:22" x14ac:dyDescent="0.25">
      <c r="A87" s="448" t="s">
        <v>699</v>
      </c>
      <c r="B87" s="449" t="str">
        <f>VLOOKUP(A87,'Feature Raw Data'!$A$3:$B$3986,2,FALSE)</f>
        <v>Feature name - EX-FEAT-081</v>
      </c>
      <c r="C87" s="450" t="str">
        <f>VLOOKUP(A87,'Feature Raw Data'!$A$3:$C$3986,3,FALSE)</f>
        <v>P2</v>
      </c>
      <c r="D87" s="451" t="str" cm="1">
        <f t="array" ref="D87">_xlfn.TEXTJOIN("",TRUE,IF(ISNUMBER(SEARCH($A87,'Diags Raw Data'!$A$6:$A$3786)),CONCATENATE('Diags Raw Data'!$H$6:$H$3786,", "),""))</f>
        <v xml:space="preserve">, </v>
      </c>
      <c r="E87" s="342" t="str">
        <f>VLOOKUP(A87,'Diags Raw Data'!$A$6:$D$3786,4,FALSE)</f>
        <v>Register Test</v>
      </c>
      <c r="F87" s="342" t="str">
        <f>VLOOKUP(A87,'Feature Raw Data'!$A$3:$E$3986,5,FALSE)</f>
        <v>Legacy</v>
      </c>
      <c r="G87" s="342" t="str">
        <f t="shared" si="14"/>
        <v>Yes</v>
      </c>
      <c r="H87" s="342" t="str">
        <f t="shared" si="15"/>
        <v>Yes</v>
      </c>
      <c r="I87" s="450">
        <f>SUMIF('Diags Raw Data'!$A$6:$A$3786,"*"&amp;$A87&amp;"*",'Diags Raw Data'!$K$6:$K$3786)</f>
        <v>1</v>
      </c>
      <c r="J87" s="452">
        <f>SUMIF('Diags Raw Data'!$A$6:$A$3786,"*"&amp;$A87&amp;"*",'Diags Raw Data'!$L$6:$L$3786)</f>
        <v>1</v>
      </c>
      <c r="K87" s="499" cm="1">
        <f t="array" ref="K87">IF(D87="",0, SUMPRODUCT(--(ISNUMBER(SEARCH($A87,'Diags Raw Data'!$A$6:$A$3786))),'Diags Raw Data'!$L$6:$L$3786,'Diags Raw Data'!$N$6:$N$3786)/J87)</f>
        <v>1</v>
      </c>
      <c r="L87" s="500" cm="1">
        <f t="array" ref="L87">IF(D87="",0, SUMPRODUCT(--(ISNUMBER(SEARCH($A87,'Diags Raw Data'!$A$6:$A$3786))),'Diags Raw Data'!$L$6:$L$3786,'Diags Raw Data'!$P$6:$P$3786)/J87)</f>
        <v>1</v>
      </c>
      <c r="M87" s="501" cm="1">
        <f t="array" ref="M87">SUMPRODUCT(--(ISNUMBER(SEARCH($A87,'Diags Raw Data'!$A$6:$A$3786))),--('Diags Raw Data'!$Q$6:$Q$3786&lt;&gt;"N/A"),'Diags Raw Data'!$R$6:$R$3786)</f>
        <v>1</v>
      </c>
      <c r="N87" s="502" cm="1">
        <f t="array" ref="N87">SUMPRODUCT(--(ISNUMBER(SEARCH($A87,'Diags Raw Data'!$A$6:$A$3786))),--('Diags Raw Data'!$Q$6:$Q$3786&lt;&gt;"N/A"),'Diags Raw Data'!$T$6:$T$3786)+SUMPRODUCT(--(ISNUMBER(SEARCH($A87,'Diags Raw Data'!$A$6:$A$3786))),--('Diags Raw Data'!$Q$6:$Q$3786&lt;&gt;"N/A"),'Diags Raw Data'!$U$6:$U$3786)</f>
        <v>1</v>
      </c>
      <c r="O87" s="503">
        <f t="shared" si="16"/>
        <v>1</v>
      </c>
      <c r="P87" s="504">
        <f>SUMIF('Diags Raw Data'!$A$6:$A$3786,"*"&amp;$A87&amp;"*",'Diags Raw Data'!$Z$6:$Z$3786)</f>
        <v>0</v>
      </c>
      <c r="Q87" s="505">
        <f>SUM(SUMIF('Diags Raw Data'!$A$6:$A$3786,"*"&amp;$A87&amp;"*",'Diags Raw Data'!$AA$6:$AA$3786),SUMIF('Diags Raw Data'!$A$6:$A$3786,"*"&amp;$A87&amp;"*",'Diags Raw Data'!$AB$6:$AB$3786))</f>
        <v>0</v>
      </c>
      <c r="R87" s="506">
        <f t="shared" si="17"/>
        <v>0</v>
      </c>
      <c r="S87" s="506">
        <f t="shared" si="18"/>
        <v>0</v>
      </c>
      <c r="T87" s="507">
        <f t="shared" si="19"/>
        <v>0</v>
      </c>
      <c r="U87" s="453" t="s">
        <v>1112</v>
      </c>
      <c r="V87" s="181"/>
    </row>
    <row r="88" spans="1:22" x14ac:dyDescent="0.25">
      <c r="A88" s="448" t="s">
        <v>702</v>
      </c>
      <c r="B88" s="449" t="str">
        <f>VLOOKUP(A88,'Feature Raw Data'!$A$3:$B$3986,2,FALSE)</f>
        <v>Feature name - EX-FEAT-082</v>
      </c>
      <c r="C88" s="450" t="str">
        <f>VLOOKUP(A88,'Feature Raw Data'!$A$3:$C$3986,3,FALSE)</f>
        <v>P2</v>
      </c>
      <c r="D88" s="451" t="str" cm="1">
        <f t="array" ref="D88">_xlfn.TEXTJOIN("",TRUE,IF(ISNUMBER(SEARCH($A88,'Diags Raw Data'!$A$6:$A$3786)),CONCATENATE('Diags Raw Data'!$H$6:$H$3786,", "),""))</f>
        <v xml:space="preserve">acpaz38, </v>
      </c>
      <c r="E88" s="342" t="str">
        <f>VLOOKUP(A88,'Diags Raw Data'!$A$6:$D$3786,4,FALSE)</f>
        <v>PDM Decoder</v>
      </c>
      <c r="F88" s="342" t="str">
        <f>VLOOKUP(A88,'Feature Raw Data'!$A$3:$E$3986,5,FALSE)</f>
        <v>Legacy</v>
      </c>
      <c r="G88" s="342" t="str">
        <f t="shared" si="14"/>
        <v>Yes</v>
      </c>
      <c r="H88" s="342" t="str">
        <f t="shared" si="15"/>
        <v>Yes</v>
      </c>
      <c r="I88" s="450">
        <f>SUMIF('Diags Raw Data'!$A$6:$A$3786,"*"&amp;$A88&amp;"*",'Diags Raw Data'!$K$6:$K$3786)</f>
        <v>1</v>
      </c>
      <c r="J88" s="452">
        <f>SUMIF('Diags Raw Data'!$A$6:$A$3786,"*"&amp;$A88&amp;"*",'Diags Raw Data'!$L$6:$L$3786)</f>
        <v>96</v>
      </c>
      <c r="K88" s="499" cm="1">
        <f t="array" ref="K88">IF(D88="",0, SUMPRODUCT(--(ISNUMBER(SEARCH($A88,'Diags Raw Data'!$A$6:$A$3786))),'Diags Raw Data'!$L$6:$L$3786,'Diags Raw Data'!$N$6:$N$3786)/J88)</f>
        <v>1</v>
      </c>
      <c r="L88" s="500" cm="1">
        <f t="array" ref="L88">IF(D88="",0, SUMPRODUCT(--(ISNUMBER(SEARCH($A88,'Diags Raw Data'!$A$6:$A$3786))),'Diags Raw Data'!$L$6:$L$3786,'Diags Raw Data'!$P$6:$P$3786)/J88)</f>
        <v>1</v>
      </c>
      <c r="M88" s="501" cm="1">
        <f t="array" ref="M88">SUMPRODUCT(--(ISNUMBER(SEARCH($A88,'Diags Raw Data'!$A$6:$A$3786))),--('Diags Raw Data'!$Q$6:$Q$3786&lt;&gt;"N/A"),'Diags Raw Data'!$R$6:$R$3786)</f>
        <v>96</v>
      </c>
      <c r="N88" s="502" cm="1">
        <f t="array" ref="N88">SUMPRODUCT(--(ISNUMBER(SEARCH($A88,'Diags Raw Data'!$A$6:$A$3786))),--('Diags Raw Data'!$Q$6:$Q$3786&lt;&gt;"N/A"),'Diags Raw Data'!$T$6:$T$3786)+SUMPRODUCT(--(ISNUMBER(SEARCH($A88,'Diags Raw Data'!$A$6:$A$3786))),--('Diags Raw Data'!$Q$6:$Q$3786&lt;&gt;"N/A"),'Diags Raw Data'!$U$6:$U$3786)</f>
        <v>96</v>
      </c>
      <c r="O88" s="503">
        <f t="shared" si="16"/>
        <v>1</v>
      </c>
      <c r="P88" s="504">
        <f>SUMIF('Diags Raw Data'!$A$6:$A$3786,"*"&amp;$A88&amp;"*",'Diags Raw Data'!$Z$6:$Z$3786)</f>
        <v>0</v>
      </c>
      <c r="Q88" s="505">
        <f>SUM(SUMIF('Diags Raw Data'!$A$6:$A$3786,"*"&amp;$A88&amp;"*",'Diags Raw Data'!$AA$6:$AA$3786),SUMIF('Diags Raw Data'!$A$6:$A$3786,"*"&amp;$A88&amp;"*",'Diags Raw Data'!$AB$6:$AB$3786))</f>
        <v>0</v>
      </c>
      <c r="R88" s="506">
        <f t="shared" si="17"/>
        <v>0</v>
      </c>
      <c r="S88" s="506">
        <f t="shared" si="18"/>
        <v>0</v>
      </c>
      <c r="T88" s="507">
        <f t="shared" si="19"/>
        <v>0</v>
      </c>
      <c r="U88" s="453" t="s">
        <v>1113</v>
      </c>
      <c r="V88" s="181"/>
    </row>
    <row r="89" spans="1:22" ht="30" x14ac:dyDescent="0.25">
      <c r="A89" s="448" t="s">
        <v>708</v>
      </c>
      <c r="B89" s="449" t="str">
        <f>VLOOKUP(A89,'Feature Raw Data'!$A$3:$B$3986,2,FALSE)</f>
        <v>Feature name - EX-FEAT-083</v>
      </c>
      <c r="C89" s="450" t="str">
        <f>VLOOKUP(A89,'Feature Raw Data'!$A$3:$C$3986,3,FALSE)</f>
        <v>P2</v>
      </c>
      <c r="D89" s="451" t="str" cm="1">
        <f t="array" ref="D89">_xlfn.TEXTJOIN("",TRUE,IF(ISNUMBER(SEARCH($A89,'Diags Raw Data'!$A$6:$A$3786)),CONCATENATE('Diags Raw Data'!$H$6:$H$3786,", "),""))</f>
        <v xml:space="preserve">acpaz38, </v>
      </c>
      <c r="E89" s="342" t="str">
        <f>VLOOKUP(A89,'Diags Raw Data'!$A$6:$D$3786,4,FALSE)</f>
        <v>DMIC Interface</v>
      </c>
      <c r="F89" s="342" t="str">
        <f>VLOOKUP(A89,'Feature Raw Data'!$A$3:$E$3986,5,FALSE)</f>
        <v>Legacy</v>
      </c>
      <c r="G89" s="342" t="str">
        <f t="shared" si="14"/>
        <v>Yes</v>
      </c>
      <c r="H89" s="342" t="str">
        <f t="shared" si="15"/>
        <v>Yes</v>
      </c>
      <c r="I89" s="450">
        <f>SUMIF('Diags Raw Data'!$A$6:$A$3786,"*"&amp;$A89&amp;"*",'Diags Raw Data'!$K$6:$K$3786)</f>
        <v>1</v>
      </c>
      <c r="J89" s="452">
        <f>SUMIF('Diags Raw Data'!$A$6:$A$3786,"*"&amp;$A89&amp;"*",'Diags Raw Data'!$L$6:$L$3786)</f>
        <v>1</v>
      </c>
      <c r="K89" s="499" cm="1">
        <f t="array" ref="K89">IF(D89="",0, SUMPRODUCT(--(ISNUMBER(SEARCH($A89,'Diags Raw Data'!$A$6:$A$3786))),'Diags Raw Data'!$L$6:$L$3786,'Diags Raw Data'!$N$6:$N$3786)/J89)</f>
        <v>1</v>
      </c>
      <c r="L89" s="500" cm="1">
        <f t="array" ref="L89">IF(D89="",0, SUMPRODUCT(--(ISNUMBER(SEARCH($A89,'Diags Raw Data'!$A$6:$A$3786))),'Diags Raw Data'!$L$6:$L$3786,'Diags Raw Data'!$P$6:$P$3786)/J89)</f>
        <v>1</v>
      </c>
      <c r="M89" s="501" cm="1">
        <f t="array" ref="M89">SUMPRODUCT(--(ISNUMBER(SEARCH($A89,'Diags Raw Data'!$A$6:$A$3786))),--('Diags Raw Data'!$Q$6:$Q$3786&lt;&gt;"N/A"),'Diags Raw Data'!$R$6:$R$3786)</f>
        <v>1</v>
      </c>
      <c r="N89" s="502" cm="1">
        <f t="array" ref="N89">SUMPRODUCT(--(ISNUMBER(SEARCH($A89,'Diags Raw Data'!$A$6:$A$3786))),--('Diags Raw Data'!$Q$6:$Q$3786&lt;&gt;"N/A"),'Diags Raw Data'!$T$6:$T$3786)+SUMPRODUCT(--(ISNUMBER(SEARCH($A89,'Diags Raw Data'!$A$6:$A$3786))),--('Diags Raw Data'!$Q$6:$Q$3786&lt;&gt;"N/A"),'Diags Raw Data'!$U$6:$U$3786)</f>
        <v>1</v>
      </c>
      <c r="O89" s="503">
        <f t="shared" si="16"/>
        <v>1</v>
      </c>
      <c r="P89" s="504">
        <f>SUMIF('Diags Raw Data'!$A$6:$A$3786,"*"&amp;$A89&amp;"*",'Diags Raw Data'!$Z$6:$Z$3786)</f>
        <v>0</v>
      </c>
      <c r="Q89" s="505">
        <f>SUM(SUMIF('Diags Raw Data'!$A$6:$A$3786,"*"&amp;$A89&amp;"*",'Diags Raw Data'!$AA$6:$AA$3786),SUMIF('Diags Raw Data'!$A$6:$A$3786,"*"&amp;$A89&amp;"*",'Diags Raw Data'!$AB$6:$AB$3786))</f>
        <v>0</v>
      </c>
      <c r="R89" s="506">
        <f t="shared" si="17"/>
        <v>0</v>
      </c>
      <c r="S89" s="506">
        <f t="shared" si="18"/>
        <v>0</v>
      </c>
      <c r="T89" s="507">
        <f t="shared" si="19"/>
        <v>0</v>
      </c>
      <c r="U89" s="453" t="s">
        <v>1112</v>
      </c>
      <c r="V89" s="181"/>
    </row>
    <row r="90" spans="1:22" ht="30" x14ac:dyDescent="0.25">
      <c r="A90" s="448" t="s">
        <v>712</v>
      </c>
      <c r="B90" s="449" t="str">
        <f>VLOOKUP(A90,'Feature Raw Data'!$A$3:$B$3986,2,FALSE)</f>
        <v>Feature name - EX-FEAT-084</v>
      </c>
      <c r="C90" s="450" t="str">
        <f>VLOOKUP(A90,'Feature Raw Data'!$A$3:$C$3986,3,FALSE)</f>
        <v>P2</v>
      </c>
      <c r="D90" s="451" t="str" cm="1">
        <f t="array" ref="D90">_xlfn.TEXTJOIN("",TRUE,IF(ISNUMBER(SEARCH($A90,'Diags Raw Data'!$A$6:$A$3786)),CONCATENATE('Diags Raw Data'!$H$6:$H$3786,", "),""))</f>
        <v xml:space="preserve">acpaz38, </v>
      </c>
      <c r="E90" s="342" t="str">
        <f>VLOOKUP(A90,'Diags Raw Data'!$A$6:$D$3786,4,FALSE)</f>
        <v>DMIC Interface</v>
      </c>
      <c r="F90" s="342" t="str">
        <f>VLOOKUP(A90,'Feature Raw Data'!$A$3:$E$3986,5,FALSE)</f>
        <v>Legacy</v>
      </c>
      <c r="G90" s="342" t="str">
        <f t="shared" si="14"/>
        <v>Yes</v>
      </c>
      <c r="H90" s="342" t="str">
        <f t="shared" si="15"/>
        <v>Yes</v>
      </c>
      <c r="I90" s="450">
        <f>SUMIF('Diags Raw Data'!$A$6:$A$3786,"*"&amp;$A90&amp;"*",'Diags Raw Data'!$K$6:$K$3786)</f>
        <v>1</v>
      </c>
      <c r="J90" s="452">
        <f>SUMIF('Diags Raw Data'!$A$6:$A$3786,"*"&amp;$A90&amp;"*",'Diags Raw Data'!$L$6:$L$3786)</f>
        <v>1</v>
      </c>
      <c r="K90" s="499" cm="1">
        <f t="array" ref="K90">IF(D90="",0, SUMPRODUCT(--(ISNUMBER(SEARCH($A90,'Diags Raw Data'!$A$6:$A$3786))),'Diags Raw Data'!$L$6:$L$3786,'Diags Raw Data'!$N$6:$N$3786)/J90)</f>
        <v>1</v>
      </c>
      <c r="L90" s="500" cm="1">
        <f t="array" ref="L90">IF(D90="",0, SUMPRODUCT(--(ISNUMBER(SEARCH($A90,'Diags Raw Data'!$A$6:$A$3786))),'Diags Raw Data'!$L$6:$L$3786,'Diags Raw Data'!$P$6:$P$3786)/J90)</f>
        <v>1</v>
      </c>
      <c r="M90" s="501" cm="1">
        <f t="array" ref="M90">SUMPRODUCT(--(ISNUMBER(SEARCH($A90,'Diags Raw Data'!$A$6:$A$3786))),--('Diags Raw Data'!$Q$6:$Q$3786&lt;&gt;"N/A"),'Diags Raw Data'!$R$6:$R$3786)</f>
        <v>1</v>
      </c>
      <c r="N90" s="502" cm="1">
        <f t="array" ref="N90">SUMPRODUCT(--(ISNUMBER(SEARCH($A90,'Diags Raw Data'!$A$6:$A$3786))),--('Diags Raw Data'!$Q$6:$Q$3786&lt;&gt;"N/A"),'Diags Raw Data'!$T$6:$T$3786)+SUMPRODUCT(--(ISNUMBER(SEARCH($A90,'Diags Raw Data'!$A$6:$A$3786))),--('Diags Raw Data'!$Q$6:$Q$3786&lt;&gt;"N/A"),'Diags Raw Data'!$U$6:$U$3786)</f>
        <v>1</v>
      </c>
      <c r="O90" s="503">
        <f>IF((M90=0),0,N90/M90)</f>
        <v>1</v>
      </c>
      <c r="P90" s="504">
        <f>SUMIF('Diags Raw Data'!$A$6:$A$3786,"*"&amp;$A90&amp;"*",'Diags Raw Data'!$Z$6:$Z$3786)</f>
        <v>0</v>
      </c>
      <c r="Q90" s="505">
        <f>SUM(SUMIF('Diags Raw Data'!$A$6:$A$3786,"*"&amp;$A90&amp;"*",'Diags Raw Data'!$AA$6:$AA$3786),SUMIF('Diags Raw Data'!$A$6:$A$3786,"*"&amp;$A90&amp;"*",'Diags Raw Data'!$AB$6:$AB$3786))</f>
        <v>0</v>
      </c>
      <c r="R90" s="506">
        <f>IF((J90=0),0,P90/J90)</f>
        <v>0</v>
      </c>
      <c r="S90" s="506">
        <f>IF((P90=0),0,Q90/P90)</f>
        <v>0</v>
      </c>
      <c r="T90" s="507">
        <f>R90*S90</f>
        <v>0</v>
      </c>
      <c r="U90" s="453" t="s">
        <v>286</v>
      </c>
      <c r="V90" s="181"/>
    </row>
    <row r="91" spans="1:22" ht="30" x14ac:dyDescent="0.25">
      <c r="A91" s="448" t="s">
        <v>715</v>
      </c>
      <c r="B91" s="449" t="str">
        <f>VLOOKUP(A91,'Feature Raw Data'!$A$3:$B$3986,2,FALSE)</f>
        <v>Feature name - EX-FEAT-085</v>
      </c>
      <c r="C91" s="450" t="str">
        <f>VLOOKUP(A91,'Feature Raw Data'!$A$3:$C$3986,3,FALSE)</f>
        <v>P2</v>
      </c>
      <c r="D91" s="451" t="str" cm="1">
        <f t="array" ref="D91">_xlfn.TEXTJOIN("",TRUE,IF(ISNUMBER(SEARCH($A91,'Diags Raw Data'!$A$6:$A$3786)),CONCATENATE('Diags Raw Data'!$H$6:$H$3786,", "),""))</f>
        <v xml:space="preserve">acpaz38, </v>
      </c>
      <c r="E91" s="342" t="str">
        <f>VLOOKUP(A91,'Diags Raw Data'!$A$6:$D$3786,4,FALSE)</f>
        <v>DMIC Interface</v>
      </c>
      <c r="F91" s="342" t="str">
        <f>VLOOKUP(A91,'Feature Raw Data'!$A$3:$E$3986,5,FALSE)</f>
        <v>Legacy</v>
      </c>
      <c r="G91" s="342" t="str">
        <f t="shared" si="14"/>
        <v>Yes</v>
      </c>
      <c r="H91" s="342" t="str">
        <f t="shared" si="15"/>
        <v>Yes</v>
      </c>
      <c r="I91" s="450">
        <f>SUMIF('Diags Raw Data'!$A$6:$A$3786,"*"&amp;$A91&amp;"*",'Diags Raw Data'!$K$6:$K$3786)</f>
        <v>1</v>
      </c>
      <c r="J91" s="452">
        <f>SUMIF('Diags Raw Data'!$A$6:$A$3786,"*"&amp;$A91&amp;"*",'Diags Raw Data'!$L$6:$L$3786)</f>
        <v>1</v>
      </c>
      <c r="K91" s="499" cm="1">
        <f t="array" ref="K91">IF(D91="",0, SUMPRODUCT(--(ISNUMBER(SEARCH($A91,'Diags Raw Data'!$A$6:$A$3786))),'Diags Raw Data'!$L$6:$L$3786,'Diags Raw Data'!$N$6:$N$3786)/J91)</f>
        <v>1</v>
      </c>
      <c r="L91" s="500" cm="1">
        <f t="array" ref="L91">IF(D91="",0, SUMPRODUCT(--(ISNUMBER(SEARCH($A91,'Diags Raw Data'!$A$6:$A$3786))),'Diags Raw Data'!$L$6:$L$3786,'Diags Raw Data'!$P$6:$P$3786)/J91)</f>
        <v>1</v>
      </c>
      <c r="M91" s="501" cm="1">
        <f t="array" ref="M91">SUMPRODUCT(--(ISNUMBER(SEARCH($A91,'Diags Raw Data'!$A$6:$A$3786))),--('Diags Raw Data'!$Q$6:$Q$3786&lt;&gt;"N/A"),'Diags Raw Data'!$R$6:$R$3786)</f>
        <v>1</v>
      </c>
      <c r="N91" s="502" cm="1">
        <f t="array" ref="N91">SUMPRODUCT(--(ISNUMBER(SEARCH($A91,'Diags Raw Data'!$A$6:$A$3786))),--('Diags Raw Data'!$Q$6:$Q$3786&lt;&gt;"N/A"),'Diags Raw Data'!$T$6:$T$3786)+SUMPRODUCT(--(ISNUMBER(SEARCH($A91,'Diags Raw Data'!$A$6:$A$3786))),--('Diags Raw Data'!$Q$6:$Q$3786&lt;&gt;"N/A"),'Diags Raw Data'!$U$6:$U$3786)</f>
        <v>1</v>
      </c>
      <c r="O91" s="503">
        <f>IF((M91=0),0,N91/M91)</f>
        <v>1</v>
      </c>
      <c r="P91" s="504">
        <f>SUMIF('Diags Raw Data'!$A$6:$A$3786,"*"&amp;$A91&amp;"*",'Diags Raw Data'!$Z$6:$Z$3786)</f>
        <v>0</v>
      </c>
      <c r="Q91" s="505">
        <f>SUM(SUMIF('Diags Raw Data'!$A$6:$A$3786,"*"&amp;$A91&amp;"*",'Diags Raw Data'!$AA$6:$AA$3786),SUMIF('Diags Raw Data'!$A$6:$A$3786,"*"&amp;$A91&amp;"*",'Diags Raw Data'!$AB$6:$AB$3786))</f>
        <v>0</v>
      </c>
      <c r="R91" s="506">
        <f>IF((J91=0),0,P91/J91)</f>
        <v>0</v>
      </c>
      <c r="S91" s="506">
        <f>IF((P91=0),0,Q91/P91)</f>
        <v>0</v>
      </c>
      <c r="T91" s="507">
        <f>R91*S91</f>
        <v>0</v>
      </c>
      <c r="U91" s="453" t="s">
        <v>277</v>
      </c>
      <c r="V91" s="181"/>
    </row>
    <row r="92" spans="1:22" ht="30" x14ac:dyDescent="0.25">
      <c r="A92" s="448" t="s">
        <v>718</v>
      </c>
      <c r="B92" s="449" t="str">
        <f>VLOOKUP(A92,'Feature Raw Data'!$A$3:$B$3986,2,FALSE)</f>
        <v>Feature name - EX-FEAT-086</v>
      </c>
      <c r="C92" s="450" t="str">
        <f>VLOOKUP(A92,'Feature Raw Data'!$A$3:$C$3986,3,FALSE)</f>
        <v>P2</v>
      </c>
      <c r="D92" s="451" t="str" cm="1">
        <f t="array" ref="D92">_xlfn.TEXTJOIN("",TRUE,IF(ISNUMBER(SEARCH($A92,'Diags Raw Data'!$A$6:$A$3786)),CONCATENATE('Diags Raw Data'!$H$6:$H$3786,", "),""))</f>
        <v xml:space="preserve">acpaz38, </v>
      </c>
      <c r="E92" s="342" t="str">
        <f>VLOOKUP(A92,'Diags Raw Data'!$A$6:$D$3786,4,FALSE)</f>
        <v>DMIC Interface</v>
      </c>
      <c r="F92" s="342" t="str">
        <f>VLOOKUP(A92,'Feature Raw Data'!$A$3:$E$3986,5,FALSE)</f>
        <v>Legacy</v>
      </c>
      <c r="G92" s="342" t="str">
        <f t="shared" si="14"/>
        <v>Yes</v>
      </c>
      <c r="H92" s="342" t="str">
        <f t="shared" si="15"/>
        <v>Yes</v>
      </c>
      <c r="I92" s="450">
        <f>SUMIF('Diags Raw Data'!$A$6:$A$3786,"*"&amp;$A92&amp;"*",'Diags Raw Data'!$K$6:$K$3786)</f>
        <v>1</v>
      </c>
      <c r="J92" s="452">
        <f>SUMIF('Diags Raw Data'!$A$6:$A$3786,"*"&amp;$A92&amp;"*",'Diags Raw Data'!$L$6:$L$3786)</f>
        <v>1</v>
      </c>
      <c r="K92" s="499" cm="1">
        <f t="array" ref="K92">IF(D92="",0, SUMPRODUCT(--(ISNUMBER(SEARCH($A92,'Diags Raw Data'!$A$6:$A$3786))),'Diags Raw Data'!$L$6:$L$3786,'Diags Raw Data'!$N$6:$N$3786)/J92)</f>
        <v>1</v>
      </c>
      <c r="L92" s="500" cm="1">
        <f t="array" ref="L92">IF(D92="",0, SUMPRODUCT(--(ISNUMBER(SEARCH($A92,'Diags Raw Data'!$A$6:$A$3786))),'Diags Raw Data'!$L$6:$L$3786,'Diags Raw Data'!$P$6:$P$3786)/J92)</f>
        <v>1</v>
      </c>
      <c r="M92" s="501" cm="1">
        <f t="array" ref="M92">SUMPRODUCT(--(ISNUMBER(SEARCH($A92,'Diags Raw Data'!$A$6:$A$3786))),--('Diags Raw Data'!$Q$6:$Q$3786&lt;&gt;"N/A"),'Diags Raw Data'!$R$6:$R$3786)</f>
        <v>1</v>
      </c>
      <c r="N92" s="502" cm="1">
        <f t="array" ref="N92">SUMPRODUCT(--(ISNUMBER(SEARCH($A92,'Diags Raw Data'!$A$6:$A$3786))),--('Diags Raw Data'!$Q$6:$Q$3786&lt;&gt;"N/A"),'Diags Raw Data'!$T$6:$T$3786)+SUMPRODUCT(--(ISNUMBER(SEARCH($A92,'Diags Raw Data'!$A$6:$A$3786))),--('Diags Raw Data'!$Q$6:$Q$3786&lt;&gt;"N/A"),'Diags Raw Data'!$U$6:$U$3786)</f>
        <v>1</v>
      </c>
      <c r="O92" s="503">
        <f t="shared" ref="O92:O93" si="20">IF((M92=0),0,N92/M92)</f>
        <v>1</v>
      </c>
      <c r="P92" s="504">
        <f>SUMIF('Diags Raw Data'!$A$6:$A$3786,"*"&amp;$A92&amp;"*",'Diags Raw Data'!$Z$6:$Z$3786)</f>
        <v>0</v>
      </c>
      <c r="Q92" s="505">
        <f>SUM(SUMIF('Diags Raw Data'!$A$6:$A$3786,"*"&amp;$A92&amp;"*",'Diags Raw Data'!$AA$6:$AA$3786),SUMIF('Diags Raw Data'!$A$6:$A$3786,"*"&amp;$A92&amp;"*",'Diags Raw Data'!$AB$6:$AB$3786))</f>
        <v>0</v>
      </c>
      <c r="R92" s="506">
        <f t="shared" ref="R92:R93" si="21">IF((J92=0),0,P92/J92)</f>
        <v>0</v>
      </c>
      <c r="S92" s="506">
        <f t="shared" ref="S92" si="22">IF((P92=0),0,Q92/P92)</f>
        <v>0</v>
      </c>
      <c r="T92" s="507">
        <f t="shared" ref="T92" si="23">R92*S92</f>
        <v>0</v>
      </c>
      <c r="U92" s="453" t="s">
        <v>1113</v>
      </c>
      <c r="V92" s="181"/>
    </row>
    <row r="93" spans="1:22" ht="30" x14ac:dyDescent="0.25">
      <c r="A93" s="448" t="s">
        <v>721</v>
      </c>
      <c r="B93" s="449" t="str">
        <f>VLOOKUP(A93,'Feature Raw Data'!$A$3:$B$3986,2,FALSE)</f>
        <v>Feature name - EX-FEAT-087</v>
      </c>
      <c r="C93" s="450" t="str">
        <f>VLOOKUP(A93,'Feature Raw Data'!$A$3:$C$3986,3,FALSE)</f>
        <v>P2</v>
      </c>
      <c r="D93" s="451" t="str" cm="1">
        <f t="array" ref="D93">_xlfn.TEXTJOIN("",TRUE,IF(ISNUMBER(SEARCH($A93,'Diags Raw Data'!$A$6:$A$3786)),CONCATENATE('Diags Raw Data'!$H$6:$H$3786,", "),""))</f>
        <v xml:space="preserve">acpaz98.1-6, </v>
      </c>
      <c r="E93" s="342" t="str">
        <f>VLOOKUP(A93,'Diags Raw Data'!$A$6:$D$3786,4,FALSE)</f>
        <v>Doorbell access</v>
      </c>
      <c r="F93" s="342" t="str">
        <f>VLOOKUP(A93,'Feature Raw Data'!$A$3:$E$3986,5,FALSE)</f>
        <v>Legacy</v>
      </c>
      <c r="G93" s="342" t="str">
        <f t="shared" si="14"/>
        <v>Yes</v>
      </c>
      <c r="H93" s="342" t="str">
        <f t="shared" si="15"/>
        <v>Yes</v>
      </c>
      <c r="I93" s="450">
        <f>SUMIF('Diags Raw Data'!$A$6:$A$3786,"*"&amp;$A93&amp;"*",'Diags Raw Data'!$K$6:$K$3786)</f>
        <v>1</v>
      </c>
      <c r="J93" s="452">
        <f>SUMIF('Diags Raw Data'!$A$6:$A$3786,"*"&amp;$A93&amp;"*",'Diags Raw Data'!$L$6:$L$3786)</f>
        <v>6</v>
      </c>
      <c r="K93" s="499" cm="1">
        <f t="array" ref="K93">IF(D93="",0, SUMPRODUCT(--(ISNUMBER(SEARCH($A93,'Diags Raw Data'!$A$6:$A$3786))),'Diags Raw Data'!$L$6:$L$3786,'Diags Raw Data'!$N$6:$N$3786)/J93)</f>
        <v>1</v>
      </c>
      <c r="L93" s="500" cm="1">
        <f t="array" ref="L93">IF(D93="",0, SUMPRODUCT(--(ISNUMBER(SEARCH($A93,'Diags Raw Data'!$A$6:$A$3786))),'Diags Raw Data'!$L$6:$L$3786,'Diags Raw Data'!$P$6:$P$3786)/J93)</f>
        <v>1</v>
      </c>
      <c r="M93" s="501" cm="1">
        <f t="array" ref="M93">SUMPRODUCT(--(ISNUMBER(SEARCH($A93,'Diags Raw Data'!$A$6:$A$3786))),--('Diags Raw Data'!$Q$6:$Q$3786&lt;&gt;"N/A"),'Diags Raw Data'!$R$6:$R$3786)</f>
        <v>6</v>
      </c>
      <c r="N93" s="502" cm="1">
        <f t="array" ref="N93">SUMPRODUCT(--(ISNUMBER(SEARCH($A93,'Diags Raw Data'!$A$6:$A$3786))),--('Diags Raw Data'!$Q$6:$Q$3786&lt;&gt;"N/A"),'Diags Raw Data'!$T$6:$T$3786)+SUMPRODUCT(--(ISNUMBER(SEARCH($A93,'Diags Raw Data'!$A$6:$A$3786))),--('Diags Raw Data'!$Q$6:$Q$3786&lt;&gt;"N/A"),'Diags Raw Data'!$U$6:$U$3786)</f>
        <v>6</v>
      </c>
      <c r="O93" s="503">
        <f t="shared" si="20"/>
        <v>1</v>
      </c>
      <c r="P93" s="504">
        <f>SUMIF('Diags Raw Data'!$A$6:$A$3786,"*"&amp;$A93&amp;"*",'Diags Raw Data'!$Z$6:$Z$3786)</f>
        <v>0</v>
      </c>
      <c r="Q93" s="505">
        <f>SUM(SUMIF('Diags Raw Data'!$A$6:$A$3786,"*"&amp;$A93&amp;"*",'Diags Raw Data'!$AA$6:$AA$3786),SUMIF('Diags Raw Data'!$A$6:$A$3786,"*"&amp;$A93&amp;"*",'Diags Raw Data'!$AB$6:$AB$3786))</f>
        <v>0</v>
      </c>
      <c r="R93" s="506">
        <f t="shared" si="21"/>
        <v>0</v>
      </c>
      <c r="S93" s="506">
        <f>IF((P93=0),0,Q93/P93)</f>
        <v>0</v>
      </c>
      <c r="T93" s="507">
        <f>R93*S93</f>
        <v>0</v>
      </c>
      <c r="U93" s="453" t="s">
        <v>1113</v>
      </c>
      <c r="V93" s="181"/>
    </row>
    <row r="94" spans="1:22" ht="30" x14ac:dyDescent="0.25">
      <c r="A94" s="448" t="s">
        <v>727</v>
      </c>
      <c r="B94" s="449" t="str">
        <f>VLOOKUP(A94,'Feature Raw Data'!$A$3:$B$3986,2,FALSE)</f>
        <v>Feature name - EX-FEAT-088</v>
      </c>
      <c r="C94" s="450" t="str">
        <f>VLOOKUP(A94,'Feature Raw Data'!$A$3:$C$3986,3,FALSE)</f>
        <v>P2</v>
      </c>
      <c r="D94" s="451" t="str" cm="1">
        <f t="array" ref="D94">_xlfn.TEXTJOIN("",TRUE,IF(ISNUMBER(SEARCH($A94,'Diags Raw Data'!$A$6:$A$3786)),CONCATENATE('Diags Raw Data'!$H$6:$H$3786,", "),""))</f>
        <v xml:space="preserve">acpaz92.2-5, </v>
      </c>
      <c r="E94" s="342" t="str">
        <f>VLOOKUP(A94,'Diags Raw Data'!$A$6:$D$3786,4,FALSE)</f>
        <v>IRAM/DRAM Security</v>
      </c>
      <c r="F94" s="342" t="str">
        <f>VLOOKUP(A94,'Feature Raw Data'!$A$3:$E$3986,5,FALSE)</f>
        <v>Legacy</v>
      </c>
      <c r="G94" s="342" t="str">
        <f t="shared" si="14"/>
        <v>Yes</v>
      </c>
      <c r="H94" s="342" t="str">
        <f t="shared" si="15"/>
        <v>Yes</v>
      </c>
      <c r="I94" s="450">
        <f>SUMIF('Diags Raw Data'!$A$6:$A$3786,"*"&amp;$A94&amp;"*",'Diags Raw Data'!$K$6:$K$3786)</f>
        <v>1</v>
      </c>
      <c r="J94" s="452">
        <f>SUMIF('Diags Raw Data'!$A$6:$A$3786,"*"&amp;$A94&amp;"*",'Diags Raw Data'!$L$6:$L$3786)</f>
        <v>4</v>
      </c>
      <c r="K94" s="499" cm="1">
        <f t="array" ref="K94">IF(D94="",0, SUMPRODUCT(--(ISNUMBER(SEARCH($A94,'Diags Raw Data'!$A$6:$A$3786))),'Diags Raw Data'!$L$6:$L$3786,'Diags Raw Data'!$N$6:$N$3786)/J94)</f>
        <v>1</v>
      </c>
      <c r="L94" s="500" cm="1">
        <f t="array" ref="L94">IF(D94="",0, SUMPRODUCT(--(ISNUMBER(SEARCH($A94,'Diags Raw Data'!$A$6:$A$3786))),'Diags Raw Data'!$L$6:$L$3786,'Diags Raw Data'!$P$6:$P$3786)/J94)</f>
        <v>1</v>
      </c>
      <c r="M94" s="501" cm="1">
        <f t="array" ref="M94">SUMPRODUCT(--(ISNUMBER(SEARCH($A94,'Diags Raw Data'!$A$6:$A$3786))),--('Diags Raw Data'!$Q$6:$Q$3786&lt;&gt;"N/A"),'Diags Raw Data'!$R$6:$R$3786)</f>
        <v>4</v>
      </c>
      <c r="N94" s="502" cm="1">
        <f t="array" ref="N94">SUMPRODUCT(--(ISNUMBER(SEARCH($A94,'Diags Raw Data'!$A$6:$A$3786))),--('Diags Raw Data'!$Q$6:$Q$3786&lt;&gt;"N/A"),'Diags Raw Data'!$T$6:$T$3786)+SUMPRODUCT(--(ISNUMBER(SEARCH($A94,'Diags Raw Data'!$A$6:$A$3786))),--('Diags Raw Data'!$Q$6:$Q$3786&lt;&gt;"N/A"),'Diags Raw Data'!$U$6:$U$3786)</f>
        <v>4</v>
      </c>
      <c r="O94" s="503">
        <f>IF((M94=0),0,N94/M94)</f>
        <v>1</v>
      </c>
      <c r="P94" s="504">
        <f>SUMIF('Diags Raw Data'!$A$6:$A$3786,"*"&amp;$A94&amp;"*",'Diags Raw Data'!$Z$6:$Z$3786)</f>
        <v>0</v>
      </c>
      <c r="Q94" s="505">
        <f>SUM(SUMIF('Diags Raw Data'!$A$6:$A$3786,"*"&amp;$A94&amp;"*",'Diags Raw Data'!$AA$6:$AA$3786),SUMIF('Diags Raw Data'!$A$6:$A$3786,"*"&amp;$A94&amp;"*",'Diags Raw Data'!$AB$6:$AB$3786))</f>
        <v>0</v>
      </c>
      <c r="R94" s="506">
        <f>IF((J94=0),0,P94/J94)</f>
        <v>0</v>
      </c>
      <c r="S94" s="506">
        <f t="shared" ref="S94:S96" si="24">IF((P94=0),0,Q94/P94)</f>
        <v>0</v>
      </c>
      <c r="T94" s="507">
        <f t="shared" ref="T94:T96" si="25">R94*S94</f>
        <v>0</v>
      </c>
      <c r="U94" s="453" t="s">
        <v>277</v>
      </c>
      <c r="V94" s="181"/>
    </row>
    <row r="95" spans="1:22" x14ac:dyDescent="0.25">
      <c r="A95" s="448" t="s">
        <v>733</v>
      </c>
      <c r="B95" s="449" t="str">
        <f>VLOOKUP(A95,'Feature Raw Data'!$A$3:$B$3986,2,FALSE)</f>
        <v>Feature name - EX-FEAT-089</v>
      </c>
      <c r="C95" s="450" t="str">
        <f>VLOOKUP(A95,'Feature Raw Data'!$A$3:$C$3986,3,FALSE)</f>
        <v>P2</v>
      </c>
      <c r="D95" s="451" t="str" cm="1">
        <f t="array" ref="D95">_xlfn.TEXTJOIN("",TRUE,IF(ISNUMBER(SEARCH($A95,'Diags Raw Data'!$A$6:$A$3786)),CONCATENATE('Diags Raw Data'!$H$6:$H$3786,", "),""))</f>
        <v xml:space="preserve">shd3.2, </v>
      </c>
      <c r="E95" s="342" t="str">
        <f>VLOOKUP(A95,'Diags Raw Data'!$A$6:$D$3786,4,FALSE)</f>
        <v>Azalia Test</v>
      </c>
      <c r="F95" s="342" t="str">
        <f>VLOOKUP(A95,'Feature Raw Data'!$A$3:$E$3986,5,FALSE)</f>
        <v>Legacy</v>
      </c>
      <c r="G95" s="342" t="str">
        <f t="shared" si="14"/>
        <v>Yes</v>
      </c>
      <c r="H95" s="342" t="str">
        <f t="shared" si="15"/>
        <v>Yes</v>
      </c>
      <c r="I95" s="450">
        <f>SUMIF('Diags Raw Data'!$A$6:$A$3786,"*"&amp;$A95&amp;"*",'Diags Raw Data'!$K$6:$K$3786)</f>
        <v>1</v>
      </c>
      <c r="J95" s="452">
        <f>SUMIF('Diags Raw Data'!$A$6:$A$3786,"*"&amp;$A95&amp;"*",'Diags Raw Data'!$L$6:$L$3786)</f>
        <v>1</v>
      </c>
      <c r="K95" s="499" cm="1">
        <f t="array" ref="K95">IF(D95="",0, SUMPRODUCT(--(ISNUMBER(SEARCH($A95,'Diags Raw Data'!$A$6:$A$3786))),'Diags Raw Data'!$L$6:$L$3786,'Diags Raw Data'!$N$6:$N$3786)/J95)</f>
        <v>1</v>
      </c>
      <c r="L95" s="500" cm="1">
        <f t="array" ref="L95">IF(D95="",0, SUMPRODUCT(--(ISNUMBER(SEARCH($A95,'Diags Raw Data'!$A$6:$A$3786))),'Diags Raw Data'!$L$6:$L$3786,'Diags Raw Data'!$P$6:$P$3786)/J95)</f>
        <v>1</v>
      </c>
      <c r="M95" s="501" cm="1">
        <f t="array" ref="M95">SUMPRODUCT(--(ISNUMBER(SEARCH($A95,'Diags Raw Data'!$A$6:$A$3786))),--('Diags Raw Data'!$Q$6:$Q$3786&lt;&gt;"N/A"),'Diags Raw Data'!$R$6:$R$3786)</f>
        <v>1</v>
      </c>
      <c r="N95" s="502" cm="1">
        <f t="array" ref="N95">SUMPRODUCT(--(ISNUMBER(SEARCH($A95,'Diags Raw Data'!$A$6:$A$3786))),--('Diags Raw Data'!$Q$6:$Q$3786&lt;&gt;"N/A"),'Diags Raw Data'!$T$6:$T$3786)+SUMPRODUCT(--(ISNUMBER(SEARCH($A95,'Diags Raw Data'!$A$6:$A$3786))),--('Diags Raw Data'!$Q$6:$Q$3786&lt;&gt;"N/A"),'Diags Raw Data'!$U$6:$U$3786)</f>
        <v>1</v>
      </c>
      <c r="O95" s="503">
        <f>IF((M95=0),0,N95/M95)</f>
        <v>1</v>
      </c>
      <c r="P95" s="504">
        <f>SUMIF('Diags Raw Data'!$A$6:$A$3786,"*"&amp;$A95&amp;"*",'Diags Raw Data'!$Z$6:$Z$3786)</f>
        <v>0</v>
      </c>
      <c r="Q95" s="505">
        <f>SUM(SUMIF('Diags Raw Data'!$A$6:$A$3786,"*"&amp;$A95&amp;"*",'Diags Raw Data'!$AA$6:$AA$3786),SUMIF('Diags Raw Data'!$A$6:$A$3786,"*"&amp;$A95&amp;"*",'Diags Raw Data'!$AB$6:$AB$3786))</f>
        <v>0</v>
      </c>
      <c r="R95" s="506">
        <f t="shared" ref="R95:R96" si="26">IF((J95=0),0,P95/J95)</f>
        <v>0</v>
      </c>
      <c r="S95" s="506">
        <f t="shared" si="24"/>
        <v>0</v>
      </c>
      <c r="T95" s="507">
        <f t="shared" si="25"/>
        <v>0</v>
      </c>
      <c r="U95" s="453" t="s">
        <v>286</v>
      </c>
      <c r="V95" s="181"/>
    </row>
    <row r="96" spans="1:22" x14ac:dyDescent="0.25">
      <c r="A96" s="448" t="s">
        <v>737</v>
      </c>
      <c r="B96" s="449" t="str">
        <f>VLOOKUP(A96,'Feature Raw Data'!$A$3:$B$3986,2,FALSE)</f>
        <v>Feature name - EX-FEAT-090</v>
      </c>
      <c r="C96" s="450" t="str">
        <f>VLOOKUP(A96,'Feature Raw Data'!$A$3:$C$3986,3,FALSE)</f>
        <v>P2</v>
      </c>
      <c r="D96" s="451" t="str" cm="1">
        <f t="array" ref="D96">_xlfn.TEXTJOIN("",TRUE,IF(ISNUMBER(SEARCH($A96,'Diags Raw Data'!$A$6:$A$3786)),CONCATENATE('Diags Raw Data'!$H$6:$H$3786,", "),""))</f>
        <v xml:space="preserve">shd4.2, shd4.12, </v>
      </c>
      <c r="E96" s="342" t="str">
        <f>VLOOKUP(A96,'Diags Raw Data'!$A$6:$D$3786,4,FALSE)</f>
        <v>Azalia Test</v>
      </c>
      <c r="F96" s="342" t="str">
        <f>VLOOKUP(A96,'Feature Raw Data'!$A$3:$E$3986,5,FALSE)</f>
        <v>Legacy</v>
      </c>
      <c r="G96" s="342" t="str">
        <f t="shared" si="14"/>
        <v>Yes</v>
      </c>
      <c r="H96" s="342" t="str">
        <f t="shared" si="15"/>
        <v>Yes</v>
      </c>
      <c r="I96" s="450">
        <f>SUMIF('Diags Raw Data'!$A$6:$A$3786,"*"&amp;$A96&amp;"*",'Diags Raw Data'!$K$6:$K$3786)</f>
        <v>2</v>
      </c>
      <c r="J96" s="452">
        <f>SUMIF('Diags Raw Data'!$A$6:$A$3786,"*"&amp;$A96&amp;"*",'Diags Raw Data'!$L$6:$L$3786)</f>
        <v>2</v>
      </c>
      <c r="K96" s="499" cm="1">
        <f t="array" ref="K96">IF(D96="",0, SUMPRODUCT(--(ISNUMBER(SEARCH($A96,'Diags Raw Data'!$A$6:$A$3786))),'Diags Raw Data'!$L$6:$L$3786,'Diags Raw Data'!$N$6:$N$3786)/J96)</f>
        <v>1</v>
      </c>
      <c r="L96" s="500" cm="1">
        <f t="array" ref="L96">IF(D96="",0, SUMPRODUCT(--(ISNUMBER(SEARCH($A96,'Diags Raw Data'!$A$6:$A$3786))),'Diags Raw Data'!$L$6:$L$3786,'Diags Raw Data'!$P$6:$P$3786)/J96)</f>
        <v>1</v>
      </c>
      <c r="M96" s="501" cm="1">
        <f t="array" ref="M96">SUMPRODUCT(--(ISNUMBER(SEARCH($A96,'Diags Raw Data'!$A$6:$A$3786))),--('Diags Raw Data'!$Q$6:$Q$3786&lt;&gt;"N/A"),'Diags Raw Data'!$R$6:$R$3786)</f>
        <v>2</v>
      </c>
      <c r="N96" s="502" cm="1">
        <f t="array" ref="N96">SUMPRODUCT(--(ISNUMBER(SEARCH($A96,'Diags Raw Data'!$A$6:$A$3786))),--('Diags Raw Data'!$Q$6:$Q$3786&lt;&gt;"N/A"),'Diags Raw Data'!$T$6:$T$3786)+SUMPRODUCT(--(ISNUMBER(SEARCH($A96,'Diags Raw Data'!$A$6:$A$3786))),--('Diags Raw Data'!$Q$6:$Q$3786&lt;&gt;"N/A"),'Diags Raw Data'!$U$6:$U$3786)</f>
        <v>2</v>
      </c>
      <c r="O96" s="503">
        <f>IF((M96=0),0,N96/M96)</f>
        <v>1</v>
      </c>
      <c r="P96" s="504">
        <f>SUMIF('Diags Raw Data'!$A$6:$A$3786,"*"&amp;$A96&amp;"*",'Diags Raw Data'!$Z$6:$Z$3786)</f>
        <v>0</v>
      </c>
      <c r="Q96" s="505">
        <f>SUM(SUMIF('Diags Raw Data'!$A$6:$A$3786,"*"&amp;$A96&amp;"*",'Diags Raw Data'!$AA$6:$AA$3786),SUMIF('Diags Raw Data'!$A$6:$A$3786,"*"&amp;$A96&amp;"*",'Diags Raw Data'!$AB$6:$AB$3786))</f>
        <v>0</v>
      </c>
      <c r="R96" s="506">
        <f t="shared" si="26"/>
        <v>0</v>
      </c>
      <c r="S96" s="506">
        <f t="shared" si="24"/>
        <v>0</v>
      </c>
      <c r="T96" s="507">
        <f t="shared" si="25"/>
        <v>0</v>
      </c>
      <c r="U96" s="453" t="s">
        <v>277</v>
      </c>
      <c r="V96" s="181"/>
    </row>
    <row r="97" spans="1:22" x14ac:dyDescent="0.25">
      <c r="A97" s="448" t="s">
        <v>743</v>
      </c>
      <c r="B97" s="449" t="str">
        <f>VLOOKUP(A97,'Feature Raw Data'!$A$3:$B$3986,2,FALSE)</f>
        <v>Feature name - EX-FEAT-091</v>
      </c>
      <c r="C97" s="450" t="str">
        <f>VLOOKUP(A97,'Feature Raw Data'!$A$3:$C$3986,3,FALSE)</f>
        <v>P2</v>
      </c>
      <c r="D97" s="451" t="str" cm="1">
        <f t="array" ref="D97">_xlfn.TEXTJOIN("",TRUE,IF(ISNUMBER(SEARCH($A97,'Diags Raw Data'!$A$6:$A$3786)),CONCATENATE('Diags Raw Data'!$H$6:$H$3786,", "),""))</f>
        <v xml:space="preserve">acpaz70.5, </v>
      </c>
      <c r="E97" s="342" t="str">
        <f>VLOOKUP(A97,'Diags Raw Data'!$A$6:$D$3786,4,FALSE)</f>
        <v>Azalia Test</v>
      </c>
      <c r="F97" s="342" t="str">
        <f>VLOOKUP(A97,'Feature Raw Data'!$A$3:$E$3986,5,FALSE)</f>
        <v>Legacy</v>
      </c>
      <c r="G97" s="342" t="str">
        <f t="shared" si="14"/>
        <v>Yes</v>
      </c>
      <c r="H97" s="342" t="str">
        <f t="shared" si="15"/>
        <v>Yes</v>
      </c>
      <c r="I97" s="450">
        <f>SUMIF('Diags Raw Data'!$A$6:$A$3786,"*"&amp;$A97&amp;"*",'Diags Raw Data'!$K$6:$K$3786)</f>
        <v>1</v>
      </c>
      <c r="J97" s="452">
        <f>SUMIF('Diags Raw Data'!$A$6:$A$3786,"*"&amp;$A97&amp;"*",'Diags Raw Data'!$L$6:$L$3786)</f>
        <v>1</v>
      </c>
      <c r="K97" s="499" cm="1">
        <f t="array" ref="K97">IF(D97="",0, SUMPRODUCT(--(ISNUMBER(SEARCH($A97,'Diags Raw Data'!$A$6:$A$3786))),'Diags Raw Data'!$L$6:$L$3786,'Diags Raw Data'!$N$6:$N$3786)/J97)</f>
        <v>1</v>
      </c>
      <c r="L97" s="500" cm="1">
        <f t="array" ref="L97">IF(D97="",0, SUMPRODUCT(--(ISNUMBER(SEARCH($A97,'Diags Raw Data'!$A$6:$A$3786))),'Diags Raw Data'!$L$6:$L$3786,'Diags Raw Data'!$P$6:$P$3786)/J97)</f>
        <v>1</v>
      </c>
      <c r="M97" s="501" cm="1">
        <f t="array" ref="M97">SUMPRODUCT(--(ISNUMBER(SEARCH($A97,'Diags Raw Data'!$A$6:$A$3786))),--('Diags Raw Data'!$Q$6:$Q$3786&lt;&gt;"N/A"),'Diags Raw Data'!$R$6:$R$3786)</f>
        <v>1</v>
      </c>
      <c r="N97" s="502" cm="1">
        <f t="array" ref="N97">SUMPRODUCT(--(ISNUMBER(SEARCH($A97,'Diags Raw Data'!$A$6:$A$3786))),--('Diags Raw Data'!$Q$6:$Q$3786&lt;&gt;"N/A"),'Diags Raw Data'!$T$6:$T$3786)+SUMPRODUCT(--(ISNUMBER(SEARCH($A97,'Diags Raw Data'!$A$6:$A$3786))),--('Diags Raw Data'!$Q$6:$Q$3786&lt;&gt;"N/A"),'Diags Raw Data'!$U$6:$U$3786)</f>
        <v>1</v>
      </c>
      <c r="O97" s="503">
        <f>IF((M97=0),0,N97/M97)</f>
        <v>1</v>
      </c>
      <c r="P97" s="504">
        <f>SUMIF('Diags Raw Data'!$A$6:$A$3786,"*"&amp;$A97&amp;"*",'Diags Raw Data'!$Z$6:$Z$3786)</f>
        <v>0</v>
      </c>
      <c r="Q97" s="505">
        <f>SUM(SUMIF('Diags Raw Data'!$A$6:$A$3786,"*"&amp;$A97&amp;"*",'Diags Raw Data'!$AA$6:$AA$3786),SUMIF('Diags Raw Data'!$A$6:$A$3786,"*"&amp;$A97&amp;"*",'Diags Raw Data'!$AB$6:$AB$3786))</f>
        <v>0</v>
      </c>
      <c r="R97" s="506">
        <f>IF((J97=0),0,P97/J97)</f>
        <v>0</v>
      </c>
      <c r="S97" s="506">
        <f>IF((P97=0),0,Q97/P97)</f>
        <v>0</v>
      </c>
      <c r="T97" s="507">
        <f>R97*S97</f>
        <v>0</v>
      </c>
      <c r="U97" s="453" t="s">
        <v>277</v>
      </c>
      <c r="V97" s="181"/>
    </row>
    <row r="98" spans="1:22" x14ac:dyDescent="0.25">
      <c r="A98" s="448" t="s">
        <v>747</v>
      </c>
      <c r="B98" s="449" t="str">
        <f>VLOOKUP(A98,'Feature Raw Data'!$A$3:$B$3986,2,FALSE)</f>
        <v>Feature name - EX-FEAT-092</v>
      </c>
      <c r="C98" s="450" t="str">
        <f>VLOOKUP(A98,'Feature Raw Data'!$A$3:$C$3986,3,FALSE)</f>
        <v>P2</v>
      </c>
      <c r="D98" s="451" t="str" cm="1">
        <f t="array" ref="D98">_xlfn.TEXTJOIN("",TRUE,IF(ISNUMBER(SEARCH($A98,'Diags Raw Data'!$A$6:$A$3786)),CONCATENATE('Diags Raw Data'!$H$6:$H$3786,", "),""))</f>
        <v xml:space="preserve">acpaz70.1, </v>
      </c>
      <c r="E98" s="342" t="str">
        <f>VLOOKUP(A98,'Diags Raw Data'!$A$6:$D$3786,4,FALSE)</f>
        <v>Azalia Test</v>
      </c>
      <c r="F98" s="342" t="str">
        <f>VLOOKUP(A98,'Feature Raw Data'!$A$3:$E$3986,5,FALSE)</f>
        <v>Legacy</v>
      </c>
      <c r="G98" s="342" t="str">
        <f t="shared" si="14"/>
        <v>Yes</v>
      </c>
      <c r="H98" s="342" t="str">
        <f t="shared" si="15"/>
        <v>Yes</v>
      </c>
      <c r="I98" s="450">
        <f>SUMIF('Diags Raw Data'!$A$6:$A$3786,"*"&amp;$A98&amp;"*",'Diags Raw Data'!$K$6:$K$3786)</f>
        <v>1</v>
      </c>
      <c r="J98" s="452">
        <f>SUMIF('Diags Raw Data'!$A$6:$A$3786,"*"&amp;$A98&amp;"*",'Diags Raw Data'!$L$6:$L$3786)</f>
        <v>1</v>
      </c>
      <c r="K98" s="499" cm="1">
        <f t="array" ref="K98">IF(D98="",0, SUMPRODUCT(--(ISNUMBER(SEARCH($A98,'Diags Raw Data'!$A$6:$A$3786))),'Diags Raw Data'!$L$6:$L$3786,'Diags Raw Data'!$N$6:$N$3786)/J98)</f>
        <v>1</v>
      </c>
      <c r="L98" s="500" cm="1">
        <f t="array" ref="L98">IF(D98="",0, SUMPRODUCT(--(ISNUMBER(SEARCH($A98,'Diags Raw Data'!$A$6:$A$3786))),'Diags Raw Data'!$L$6:$L$3786,'Diags Raw Data'!$P$6:$P$3786)/J98)</f>
        <v>1</v>
      </c>
      <c r="M98" s="501" cm="1">
        <f t="array" ref="M98">SUMPRODUCT(--(ISNUMBER(SEARCH($A98,'Diags Raw Data'!$A$6:$A$3786))),--('Diags Raw Data'!$Q$6:$Q$3786&lt;&gt;"N/A"),'Diags Raw Data'!$R$6:$R$3786)</f>
        <v>1</v>
      </c>
      <c r="N98" s="502" cm="1">
        <f t="array" ref="N98">SUMPRODUCT(--(ISNUMBER(SEARCH($A98,'Diags Raw Data'!$A$6:$A$3786))),--('Diags Raw Data'!$Q$6:$Q$3786&lt;&gt;"N/A"),'Diags Raw Data'!$T$6:$T$3786)+SUMPRODUCT(--(ISNUMBER(SEARCH($A98,'Diags Raw Data'!$A$6:$A$3786))),--('Diags Raw Data'!$Q$6:$Q$3786&lt;&gt;"N/A"),'Diags Raw Data'!$U$6:$U$3786)</f>
        <v>1</v>
      </c>
      <c r="O98" s="503">
        <f t="shared" ref="O98:O100" si="27">IF((M98=0),0,N98/M98)</f>
        <v>1</v>
      </c>
      <c r="P98" s="504">
        <f>SUMIF('Diags Raw Data'!$A$6:$A$3786,"*"&amp;$A98&amp;"*",'Diags Raw Data'!$Z$6:$Z$3786)</f>
        <v>0</v>
      </c>
      <c r="Q98" s="505">
        <f>SUM(SUMIF('Diags Raw Data'!$A$6:$A$3786,"*"&amp;$A98&amp;"*",'Diags Raw Data'!$AA$6:$AA$3786),SUMIF('Diags Raw Data'!$A$6:$A$3786,"*"&amp;$A98&amp;"*",'Diags Raw Data'!$AB$6:$AB$3786))</f>
        <v>0</v>
      </c>
      <c r="R98" s="506">
        <f t="shared" ref="R98:R100" si="28">IF((J98=0),0,P98/J98)</f>
        <v>0</v>
      </c>
      <c r="S98" s="506">
        <f t="shared" ref="S98:S103" si="29">IF((P98=0),0,Q98/P98)</f>
        <v>0</v>
      </c>
      <c r="T98" s="507">
        <f t="shared" ref="T98:T102" si="30">R98*S98</f>
        <v>0</v>
      </c>
      <c r="U98" s="453" t="s">
        <v>286</v>
      </c>
      <c r="V98" s="181"/>
    </row>
    <row r="99" spans="1:22" x14ac:dyDescent="0.25">
      <c r="A99" s="448" t="s">
        <v>751</v>
      </c>
      <c r="B99" s="449" t="str">
        <f>VLOOKUP(A99,'Feature Raw Data'!$A$3:$B$3986,2,FALSE)</f>
        <v>Feature name - EX-FEAT-093</v>
      </c>
      <c r="C99" s="450" t="str">
        <f>VLOOKUP(A99,'Feature Raw Data'!$A$3:$C$3986,3,FALSE)</f>
        <v>P2</v>
      </c>
      <c r="D99" s="451" t="str" cm="1">
        <f t="array" ref="D99">_xlfn.TEXTJOIN("",TRUE,IF(ISNUMBER(SEARCH($A99,'Diags Raw Data'!$A$6:$A$3786)),CONCATENATE('Diags Raw Data'!$H$6:$H$3786,", "),""))</f>
        <v xml:space="preserve">, </v>
      </c>
      <c r="E99" s="342" t="str">
        <f>VLOOKUP(A99,'Diags Raw Data'!$A$6:$D$3786,4,FALSE)</f>
        <v>Azalia Test</v>
      </c>
      <c r="F99" s="342" t="str">
        <f>VLOOKUP(A99,'Feature Raw Data'!$A$3:$E$3986,5,FALSE)</f>
        <v>Legacy</v>
      </c>
      <c r="G99" s="342" t="str">
        <f t="shared" si="14"/>
        <v>Yes</v>
      </c>
      <c r="H99" s="342" t="str">
        <f t="shared" si="15"/>
        <v>Yes</v>
      </c>
      <c r="I99" s="450">
        <f>SUMIF('Diags Raw Data'!$A$6:$A$3786,"*"&amp;$A99&amp;"*",'Diags Raw Data'!$K$6:$K$3786)</f>
        <v>1</v>
      </c>
      <c r="J99" s="452">
        <f>SUMIF('Diags Raw Data'!$A$6:$A$3786,"*"&amp;$A99&amp;"*",'Diags Raw Data'!$L$6:$L$3786)</f>
        <v>1</v>
      </c>
      <c r="K99" s="499" cm="1">
        <f t="array" ref="K99">IF(D99="",0, SUMPRODUCT(--(ISNUMBER(SEARCH($A99,'Diags Raw Data'!$A$6:$A$3786))),'Diags Raw Data'!$L$6:$L$3786,'Diags Raw Data'!$N$6:$N$3786)/J99)</f>
        <v>1</v>
      </c>
      <c r="L99" s="500" cm="1">
        <f t="array" ref="L99">IF(D99="",0, SUMPRODUCT(--(ISNUMBER(SEARCH($A99,'Diags Raw Data'!$A$6:$A$3786))),'Diags Raw Data'!$L$6:$L$3786,'Diags Raw Data'!$P$6:$P$3786)/J99)</f>
        <v>1</v>
      </c>
      <c r="M99" s="501" cm="1">
        <f t="array" ref="M99">SUMPRODUCT(--(ISNUMBER(SEARCH($A99,'Diags Raw Data'!$A$6:$A$3786))),--('Diags Raw Data'!$Q$6:$Q$3786&lt;&gt;"N/A"),'Diags Raw Data'!$R$6:$R$3786)</f>
        <v>1</v>
      </c>
      <c r="N99" s="502" cm="1">
        <f t="array" ref="N99">SUMPRODUCT(--(ISNUMBER(SEARCH($A99,'Diags Raw Data'!$A$6:$A$3786))),--('Diags Raw Data'!$Q$6:$Q$3786&lt;&gt;"N/A"),'Diags Raw Data'!$T$6:$T$3786)+SUMPRODUCT(--(ISNUMBER(SEARCH($A99,'Diags Raw Data'!$A$6:$A$3786))),--('Diags Raw Data'!$Q$6:$Q$3786&lt;&gt;"N/A"),'Diags Raw Data'!$U$6:$U$3786)</f>
        <v>1</v>
      </c>
      <c r="O99" s="503">
        <f t="shared" si="27"/>
        <v>1</v>
      </c>
      <c r="P99" s="504">
        <f>SUMIF('Diags Raw Data'!$A$6:$A$3786,"*"&amp;$A99&amp;"*",'Diags Raw Data'!$Z$6:$Z$3786)</f>
        <v>0</v>
      </c>
      <c r="Q99" s="505">
        <f>SUM(SUMIF('Diags Raw Data'!$A$6:$A$3786,"*"&amp;$A99&amp;"*",'Diags Raw Data'!$AA$6:$AA$3786),SUMIF('Diags Raw Data'!$A$6:$A$3786,"*"&amp;$A99&amp;"*",'Diags Raw Data'!$AB$6:$AB$3786))</f>
        <v>0</v>
      </c>
      <c r="R99" s="506">
        <f t="shared" si="28"/>
        <v>0</v>
      </c>
      <c r="S99" s="506">
        <f t="shared" si="29"/>
        <v>0</v>
      </c>
      <c r="T99" s="507">
        <f t="shared" si="30"/>
        <v>0</v>
      </c>
      <c r="U99" s="453" t="s">
        <v>286</v>
      </c>
      <c r="V99" s="181"/>
    </row>
    <row r="100" spans="1:22" x14ac:dyDescent="0.25">
      <c r="A100" s="448" t="s">
        <v>753</v>
      </c>
      <c r="B100" s="449" t="str">
        <f>VLOOKUP(A100,'Feature Raw Data'!$A$3:$B$3986,2,FALSE)</f>
        <v>Feature name - EX-FEAT-094</v>
      </c>
      <c r="C100" s="450" t="str">
        <f>VLOOKUP(A100,'Feature Raw Data'!$A$3:$C$3986,3,FALSE)</f>
        <v>P2</v>
      </c>
      <c r="D100" s="451" t="str" cm="1">
        <f t="array" ref="D100">_xlfn.TEXTJOIN("",TRUE,IF(ISNUMBER(SEARCH($A100,'Diags Raw Data'!$A$6:$A$3786)),CONCATENATE('Diags Raw Data'!$H$6:$H$3786,", "),""))</f>
        <v xml:space="preserve">, </v>
      </c>
      <c r="E100" s="342" t="str">
        <f>VLOOKUP(A100,'Diags Raw Data'!$A$6:$D$3786,4,FALSE)</f>
        <v>Azalia Test</v>
      </c>
      <c r="F100" s="342" t="str">
        <f>VLOOKUP(A100,'Feature Raw Data'!$A$3:$E$3986,5,FALSE)</f>
        <v>Legacy</v>
      </c>
      <c r="G100" s="342" t="str">
        <f t="shared" si="14"/>
        <v>Yes</v>
      </c>
      <c r="H100" s="342" t="str">
        <f t="shared" si="15"/>
        <v>Yes</v>
      </c>
      <c r="I100" s="450">
        <f>SUMIF('Diags Raw Data'!$A$6:$A$3786,"*"&amp;$A100&amp;"*",'Diags Raw Data'!$K$6:$K$3786)</f>
        <v>1</v>
      </c>
      <c r="J100" s="452">
        <f>SUMIF('Diags Raw Data'!$A$6:$A$3786,"*"&amp;$A100&amp;"*",'Diags Raw Data'!$L$6:$L$3786)</f>
        <v>1</v>
      </c>
      <c r="K100" s="499" cm="1">
        <f t="array" ref="K100">IF(D100="",0, SUMPRODUCT(--(ISNUMBER(SEARCH($A100,'Diags Raw Data'!$A$6:$A$3786))),'Diags Raw Data'!$L$6:$L$3786,'Diags Raw Data'!$N$6:$N$3786)/J100)</f>
        <v>1</v>
      </c>
      <c r="L100" s="500" cm="1">
        <f t="array" ref="L100">IF(D100="",0, SUMPRODUCT(--(ISNUMBER(SEARCH($A100,'Diags Raw Data'!$A$6:$A$3786))),'Diags Raw Data'!$L$6:$L$3786,'Diags Raw Data'!$P$6:$P$3786)/J100)</f>
        <v>1</v>
      </c>
      <c r="M100" s="501" cm="1">
        <f t="array" ref="M100">SUMPRODUCT(--(ISNUMBER(SEARCH($A100,'Diags Raw Data'!$A$6:$A$3786))),--('Diags Raw Data'!$Q$6:$Q$3786&lt;&gt;"N/A"),'Diags Raw Data'!$R$6:$R$3786)</f>
        <v>1</v>
      </c>
      <c r="N100" s="502" cm="1">
        <f t="array" ref="N100">SUMPRODUCT(--(ISNUMBER(SEARCH($A100,'Diags Raw Data'!$A$6:$A$3786))),--('Diags Raw Data'!$Q$6:$Q$3786&lt;&gt;"N/A"),'Diags Raw Data'!$T$6:$T$3786)+SUMPRODUCT(--(ISNUMBER(SEARCH($A100,'Diags Raw Data'!$A$6:$A$3786))),--('Diags Raw Data'!$Q$6:$Q$3786&lt;&gt;"N/A"),'Diags Raw Data'!$U$6:$U$3786)</f>
        <v>1</v>
      </c>
      <c r="O100" s="503">
        <f t="shared" si="27"/>
        <v>1</v>
      </c>
      <c r="P100" s="504">
        <f>SUMIF('Diags Raw Data'!$A$6:$A$3786,"*"&amp;$A100&amp;"*",'Diags Raw Data'!$Z$6:$Z$3786)</f>
        <v>0</v>
      </c>
      <c r="Q100" s="505">
        <f>SUM(SUMIF('Diags Raw Data'!$A$6:$A$3786,"*"&amp;$A100&amp;"*",'Diags Raw Data'!$AA$6:$AA$3786),SUMIF('Diags Raw Data'!$A$6:$A$3786,"*"&amp;$A100&amp;"*",'Diags Raw Data'!$AB$6:$AB$3786))</f>
        <v>0</v>
      </c>
      <c r="R100" s="506">
        <f t="shared" si="28"/>
        <v>0</v>
      </c>
      <c r="S100" s="506">
        <f t="shared" si="29"/>
        <v>0</v>
      </c>
      <c r="T100" s="507">
        <f t="shared" si="30"/>
        <v>0</v>
      </c>
      <c r="U100" s="453" t="s">
        <v>286</v>
      </c>
      <c r="V100" s="181"/>
    </row>
    <row r="101" spans="1:22" x14ac:dyDescent="0.25">
      <c r="A101" s="448" t="s">
        <v>756</v>
      </c>
      <c r="B101" s="449" t="str">
        <f>VLOOKUP(A101,'Feature Raw Data'!$A$3:$B$3986,2,FALSE)</f>
        <v>Feature name - EX-FEAT-095</v>
      </c>
      <c r="C101" s="450" t="str">
        <f>VLOOKUP(A101,'Feature Raw Data'!$A$3:$C$3986,3,FALSE)</f>
        <v>P2</v>
      </c>
      <c r="D101" s="451" t="str" cm="1">
        <f t="array" ref="D101">_xlfn.TEXTJOIN("",TRUE,IF(ISNUMBER(SEARCH($A101,'Diags Raw Data'!$A$6:$A$3786)),CONCATENATE('Diags Raw Data'!$H$6:$H$3786,", "),""))</f>
        <v xml:space="preserve">shd3.2, </v>
      </c>
      <c r="E101" s="342" t="str">
        <f>VLOOKUP(A101,'Diags Raw Data'!$A$6:$D$3786,4,FALSE)</f>
        <v>Azalia Test</v>
      </c>
      <c r="F101" s="342" t="str">
        <f>VLOOKUP(A101,'Feature Raw Data'!$A$3:$E$3986,5,FALSE)</f>
        <v>Legacy</v>
      </c>
      <c r="G101" s="342" t="str">
        <f t="shared" si="14"/>
        <v>Yes</v>
      </c>
      <c r="H101" s="342" t="str">
        <f t="shared" si="15"/>
        <v>Yes</v>
      </c>
      <c r="I101" s="450">
        <f>SUMIF('Diags Raw Data'!$A$6:$A$3786,"*"&amp;$A101&amp;"*",'Diags Raw Data'!$K$6:$K$3786)</f>
        <v>1</v>
      </c>
      <c r="J101" s="452">
        <f>SUMIF('Diags Raw Data'!$A$6:$A$3786,"*"&amp;$A101&amp;"*",'Diags Raw Data'!$L$6:$L$3786)</f>
        <v>1</v>
      </c>
      <c r="K101" s="499" cm="1">
        <f t="array" ref="K101">IF(D101="",0, SUMPRODUCT(--(ISNUMBER(SEARCH($A101,'Diags Raw Data'!$A$6:$A$3786))),'Diags Raw Data'!$L$6:$L$3786,'Diags Raw Data'!$N$6:$N$3786)/J101)</f>
        <v>1</v>
      </c>
      <c r="L101" s="500" cm="1">
        <f t="array" ref="L101">IF(D101="",0, SUMPRODUCT(--(ISNUMBER(SEARCH($A101,'Diags Raw Data'!$A$6:$A$3786))),'Diags Raw Data'!$L$6:$L$3786,'Diags Raw Data'!$P$6:$P$3786)/J101)</f>
        <v>1</v>
      </c>
      <c r="M101" s="501" cm="1">
        <f t="array" ref="M101">SUMPRODUCT(--(ISNUMBER(SEARCH($A101,'Diags Raw Data'!$A$6:$A$3786))),--('Diags Raw Data'!$Q$6:$Q$3786&lt;&gt;"N/A"),'Diags Raw Data'!$R$6:$R$3786)</f>
        <v>1</v>
      </c>
      <c r="N101" s="502" cm="1">
        <f t="array" ref="N101">SUMPRODUCT(--(ISNUMBER(SEARCH($A101,'Diags Raw Data'!$A$6:$A$3786))),--('Diags Raw Data'!$Q$6:$Q$3786&lt;&gt;"N/A"),'Diags Raw Data'!$T$6:$T$3786)+SUMPRODUCT(--(ISNUMBER(SEARCH($A101,'Diags Raw Data'!$A$6:$A$3786))),--('Diags Raw Data'!$Q$6:$Q$3786&lt;&gt;"N/A"),'Diags Raw Data'!$U$6:$U$3786)</f>
        <v>1</v>
      </c>
      <c r="O101" s="503">
        <f>IF((M101=0),0,N101/M101)</f>
        <v>1</v>
      </c>
      <c r="P101" s="504">
        <f>SUMIF('Diags Raw Data'!$A$6:$A$3786,"*"&amp;$A101&amp;"*",'Diags Raw Data'!$Z$6:$Z$3786)</f>
        <v>0</v>
      </c>
      <c r="Q101" s="505">
        <f>SUM(SUMIF('Diags Raw Data'!$A$6:$A$3786,"*"&amp;$A101&amp;"*",'Diags Raw Data'!$AA$6:$AA$3786),SUMIF('Diags Raw Data'!$A$6:$A$3786,"*"&amp;$A101&amp;"*",'Diags Raw Data'!$AB$6:$AB$3786))</f>
        <v>0</v>
      </c>
      <c r="R101" s="506">
        <f>IF((J101=0),0,P101/J101)</f>
        <v>0</v>
      </c>
      <c r="S101" s="506">
        <f t="shared" si="29"/>
        <v>0</v>
      </c>
      <c r="T101" s="507">
        <f t="shared" si="30"/>
        <v>0</v>
      </c>
      <c r="U101" s="453" t="s">
        <v>1113</v>
      </c>
      <c r="V101" s="181"/>
    </row>
    <row r="102" spans="1:22" x14ac:dyDescent="0.25">
      <c r="A102" s="448" t="s">
        <v>758</v>
      </c>
      <c r="B102" s="449" t="str">
        <f>VLOOKUP(A102,'Feature Raw Data'!$A$3:$B$3986,2,FALSE)</f>
        <v>Feature name - EX-FEAT-096</v>
      </c>
      <c r="C102" s="450" t="str">
        <f>VLOOKUP(A102,'Feature Raw Data'!$A$3:$C$3986,3,FALSE)</f>
        <v>P2</v>
      </c>
      <c r="D102" s="451" t="str" cm="1">
        <f t="array" ref="D102">_xlfn.TEXTJOIN("",TRUE,IF(ISNUMBER(SEARCH($A102,'Diags Raw Data'!$A$6:$A$3786)),CONCATENATE('Diags Raw Data'!$H$6:$H$3786,", "),""))</f>
        <v xml:space="preserve">acpaz53,acpaz253, </v>
      </c>
      <c r="E102" s="342" t="str">
        <f>VLOOKUP(A102,'Diags Raw Data'!$A$6:$D$3786,4,FALSE)</f>
        <v>SoundWire</v>
      </c>
      <c r="F102" s="342" t="str">
        <f>VLOOKUP(A102,'Feature Raw Data'!$A$3:$E$3986,5,FALSE)</f>
        <v>Legacy</v>
      </c>
      <c r="G102" s="342" t="str">
        <f t="shared" si="14"/>
        <v>Yes</v>
      </c>
      <c r="H102" s="342" t="str">
        <f t="shared" si="15"/>
        <v>Yes</v>
      </c>
      <c r="I102" s="450">
        <f>SUMIF('Diags Raw Data'!$A$6:$A$3786,"*"&amp;$A102&amp;"*",'Diags Raw Data'!$K$6:$K$3786)</f>
        <v>1</v>
      </c>
      <c r="J102" s="452">
        <f>SUMIF('Diags Raw Data'!$A$6:$A$3786,"*"&amp;$A102&amp;"*",'Diags Raw Data'!$L$6:$L$3786)</f>
        <v>1</v>
      </c>
      <c r="K102" s="499" cm="1">
        <f t="array" ref="K102">IF(D102="",0, SUMPRODUCT(--(ISNUMBER(SEARCH($A102,'Diags Raw Data'!$A$6:$A$3786))),'Diags Raw Data'!$L$6:$L$3786,'Diags Raw Data'!$N$6:$N$3786)/J102)</f>
        <v>1</v>
      </c>
      <c r="L102" s="500" cm="1">
        <f t="array" ref="L102">IF(D102="",0, SUMPRODUCT(--(ISNUMBER(SEARCH($A102,'Diags Raw Data'!$A$6:$A$3786))),'Diags Raw Data'!$L$6:$L$3786,'Diags Raw Data'!$P$6:$P$3786)/J102)</f>
        <v>1</v>
      </c>
      <c r="M102" s="501" cm="1">
        <f t="array" ref="M102">SUMPRODUCT(--(ISNUMBER(SEARCH($A102,'Diags Raw Data'!$A$6:$A$3786))),--('Diags Raw Data'!$Q$6:$Q$3786&lt;&gt;"N/A"),'Diags Raw Data'!$R$6:$R$3786)</f>
        <v>1</v>
      </c>
      <c r="N102" s="502" cm="1">
        <f t="array" ref="N102">SUMPRODUCT(--(ISNUMBER(SEARCH($A102,'Diags Raw Data'!$A$6:$A$3786))),--('Diags Raw Data'!$Q$6:$Q$3786&lt;&gt;"N/A"),'Diags Raw Data'!$T$6:$T$3786)+SUMPRODUCT(--(ISNUMBER(SEARCH($A102,'Diags Raw Data'!$A$6:$A$3786))),--('Diags Raw Data'!$Q$6:$Q$3786&lt;&gt;"N/A"),'Diags Raw Data'!$U$6:$U$3786)</f>
        <v>1</v>
      </c>
      <c r="O102" s="503">
        <f t="shared" ref="O102:O103" si="31">IF((M102=0),0,N102/M102)</f>
        <v>1</v>
      </c>
      <c r="P102" s="504">
        <f>SUMIF('Diags Raw Data'!$A$6:$A$3786,"*"&amp;$A102&amp;"*",'Diags Raw Data'!$Z$6:$Z$3786)</f>
        <v>0</v>
      </c>
      <c r="Q102" s="505">
        <f>SUM(SUMIF('Diags Raw Data'!$A$6:$A$3786,"*"&amp;$A102&amp;"*",'Diags Raw Data'!$AA$6:$AA$3786),SUMIF('Diags Raw Data'!$A$6:$A$3786,"*"&amp;$A102&amp;"*",'Diags Raw Data'!$AB$6:$AB$3786))</f>
        <v>0</v>
      </c>
      <c r="R102" s="506">
        <f>IF((J102=0),0,P102/J102)</f>
        <v>0</v>
      </c>
      <c r="S102" s="506">
        <f t="shared" si="29"/>
        <v>0</v>
      </c>
      <c r="T102" s="507">
        <f t="shared" si="30"/>
        <v>0</v>
      </c>
      <c r="U102" s="453" t="s">
        <v>1113</v>
      </c>
      <c r="V102" s="181"/>
    </row>
    <row r="103" spans="1:22" x14ac:dyDescent="0.25">
      <c r="A103" s="448" t="s">
        <v>764</v>
      </c>
      <c r="B103" s="449" t="str">
        <f>VLOOKUP(A103,'Feature Raw Data'!$A$3:$B$3986,2,FALSE)</f>
        <v>Feature name - EX-FEAT-097</v>
      </c>
      <c r="C103" s="450" t="str">
        <f>VLOOKUP(A103,'Feature Raw Data'!$A$3:$C$3986,3,FALSE)</f>
        <v>P2</v>
      </c>
      <c r="D103" s="451" t="str" cm="1">
        <f t="array" ref="D103">_xlfn.TEXTJOIN("",TRUE,IF(ISNUMBER(SEARCH($A103,'Diags Raw Data'!$A$6:$A$3786)),CONCATENATE('Diags Raw Data'!$H$6:$H$3786,", "),""))</f>
        <v xml:space="preserve">acpaz50,acpaz250, </v>
      </c>
      <c r="E103" s="342" t="str">
        <f>VLOOKUP(A103,'Diags Raw Data'!$A$6:$D$3786,4,FALSE)</f>
        <v>SoundWire</v>
      </c>
      <c r="F103" s="342" t="str">
        <f>VLOOKUP(A103,'Feature Raw Data'!$A$3:$E$3986,5,FALSE)</f>
        <v>Legacy</v>
      </c>
      <c r="G103" s="342" t="str">
        <f t="shared" si="14"/>
        <v>Yes</v>
      </c>
      <c r="H103" s="342" t="str">
        <f t="shared" si="15"/>
        <v>Yes</v>
      </c>
      <c r="I103" s="450">
        <f>SUMIF('Diags Raw Data'!$A$6:$A$3786,"*"&amp;$A103&amp;"*",'Diags Raw Data'!$K$6:$K$3786)</f>
        <v>1</v>
      </c>
      <c r="J103" s="452">
        <f>SUMIF('Diags Raw Data'!$A$6:$A$3786,"*"&amp;$A103&amp;"*",'Diags Raw Data'!$L$6:$L$3786)</f>
        <v>1</v>
      </c>
      <c r="K103" s="499" cm="1">
        <f t="array" ref="K103">IF(D103="",0, SUMPRODUCT(--(ISNUMBER(SEARCH($A103,'Diags Raw Data'!$A$6:$A$3786))),'Diags Raw Data'!$L$6:$L$3786,'Diags Raw Data'!$N$6:$N$3786)/J103)</f>
        <v>1</v>
      </c>
      <c r="L103" s="500" cm="1">
        <f t="array" ref="L103">IF(D103="",0, SUMPRODUCT(--(ISNUMBER(SEARCH($A103,'Diags Raw Data'!$A$6:$A$3786))),'Diags Raw Data'!$L$6:$L$3786,'Diags Raw Data'!$P$6:$P$3786)/J103)</f>
        <v>1</v>
      </c>
      <c r="M103" s="501" cm="1">
        <f t="array" ref="M103">SUMPRODUCT(--(ISNUMBER(SEARCH($A103,'Diags Raw Data'!$A$6:$A$3786))),--('Diags Raw Data'!$Q$6:$Q$3786&lt;&gt;"N/A"),'Diags Raw Data'!$R$6:$R$3786)</f>
        <v>1</v>
      </c>
      <c r="N103" s="502" cm="1">
        <f t="array" ref="N103">SUMPRODUCT(--(ISNUMBER(SEARCH($A103,'Diags Raw Data'!$A$6:$A$3786))),--('Diags Raw Data'!$Q$6:$Q$3786&lt;&gt;"N/A"),'Diags Raw Data'!$T$6:$T$3786)+SUMPRODUCT(--(ISNUMBER(SEARCH($A103,'Diags Raw Data'!$A$6:$A$3786))),--('Diags Raw Data'!$Q$6:$Q$3786&lt;&gt;"N/A"),'Diags Raw Data'!$U$6:$U$3786)</f>
        <v>1</v>
      </c>
      <c r="O103" s="503">
        <f t="shared" si="31"/>
        <v>1</v>
      </c>
      <c r="P103" s="504">
        <f>SUMIF('Diags Raw Data'!$A$6:$A$3786,"*"&amp;$A103&amp;"*",'Diags Raw Data'!$Z$6:$Z$3786)</f>
        <v>0</v>
      </c>
      <c r="Q103" s="505">
        <f>SUM(SUMIF('Diags Raw Data'!$A$6:$A$3786,"*"&amp;$A103&amp;"*",'Diags Raw Data'!$AA$6:$AA$3786),SUMIF('Diags Raw Data'!$A$6:$A$3786,"*"&amp;$A103&amp;"*",'Diags Raw Data'!$AB$6:$AB$3786))</f>
        <v>0</v>
      </c>
      <c r="R103" s="506">
        <f>IF((J103=0),0,P103/J103)</f>
        <v>0</v>
      </c>
      <c r="S103" s="506">
        <f t="shared" si="29"/>
        <v>0</v>
      </c>
      <c r="T103" s="507">
        <f>R103*S103</f>
        <v>0</v>
      </c>
      <c r="U103" s="453" t="s">
        <v>1113</v>
      </c>
      <c r="V103" s="181"/>
    </row>
    <row r="104" spans="1:22" x14ac:dyDescent="0.25">
      <c r="A104" s="448" t="s">
        <v>769</v>
      </c>
      <c r="B104" s="449" t="str">
        <f>VLOOKUP(A104,'Feature Raw Data'!$A$3:$B$3986,2,FALSE)</f>
        <v>Feature name - EX-FEAT-098</v>
      </c>
      <c r="C104" s="450" t="str">
        <f>VLOOKUP(A104,'Feature Raw Data'!$A$3:$C$3986,3,FALSE)</f>
        <v>P2</v>
      </c>
      <c r="D104" s="451" t="str" cm="1">
        <f t="array" ref="D104">_xlfn.TEXTJOIN("",TRUE,IF(ISNUMBER(SEARCH($A104,'Diags Raw Data'!$A$6:$A$3786)),CONCATENATE('Diags Raw Data'!$H$6:$H$3786,", "),""))</f>
        <v xml:space="preserve">acpaz47.1-2,acpaz247.1-2, </v>
      </c>
      <c r="E104" s="342" t="str">
        <f>VLOOKUP(A104,'Diags Raw Data'!$A$6:$D$3786,4,FALSE)</f>
        <v>SoundWire</v>
      </c>
      <c r="F104" s="342" t="str">
        <f>VLOOKUP(A104,'Feature Raw Data'!$A$3:$E$3986,5,FALSE)</f>
        <v>Legacy</v>
      </c>
      <c r="G104" s="342" t="str">
        <f t="shared" si="14"/>
        <v>Yes</v>
      </c>
      <c r="H104" s="342" t="str">
        <f t="shared" si="15"/>
        <v>Yes</v>
      </c>
      <c r="I104" s="450">
        <f>SUMIF('Diags Raw Data'!$A$6:$A$3786,"*"&amp;$A104&amp;"*",'Diags Raw Data'!$K$6:$K$3786)</f>
        <v>1</v>
      </c>
      <c r="J104" s="452">
        <f>SUMIF('Diags Raw Data'!$A$6:$A$3786,"*"&amp;$A104&amp;"*",'Diags Raw Data'!$L$6:$L$3786)</f>
        <v>1</v>
      </c>
      <c r="K104" s="499" cm="1">
        <f t="array" ref="K104">IF(D104="",0, SUMPRODUCT(--(ISNUMBER(SEARCH($A104,'Diags Raw Data'!$A$6:$A$3786))),'Diags Raw Data'!$L$6:$L$3786,'Diags Raw Data'!$N$6:$N$3786)/J104)</f>
        <v>1</v>
      </c>
      <c r="L104" s="500" cm="1">
        <f t="array" ref="L104">IF(D104="",0, SUMPRODUCT(--(ISNUMBER(SEARCH($A104,'Diags Raw Data'!$A$6:$A$3786))),'Diags Raw Data'!$L$6:$L$3786,'Diags Raw Data'!$P$6:$P$3786)/J104)</f>
        <v>1</v>
      </c>
      <c r="M104" s="501" cm="1">
        <f t="array" ref="M104">SUMPRODUCT(--(ISNUMBER(SEARCH($A104,'Diags Raw Data'!$A$6:$A$3786))),--('Diags Raw Data'!$Q$6:$Q$3786&lt;&gt;"N/A"),'Diags Raw Data'!$R$6:$R$3786)</f>
        <v>1</v>
      </c>
      <c r="N104" s="502" cm="1">
        <f t="array" ref="N104">SUMPRODUCT(--(ISNUMBER(SEARCH($A104,'Diags Raw Data'!$A$6:$A$3786))),--('Diags Raw Data'!$Q$6:$Q$3786&lt;&gt;"N/A"),'Diags Raw Data'!$T$6:$T$3786)+SUMPRODUCT(--(ISNUMBER(SEARCH($A104,'Diags Raw Data'!$A$6:$A$3786))),--('Diags Raw Data'!$Q$6:$Q$3786&lt;&gt;"N/A"),'Diags Raw Data'!$U$6:$U$3786)</f>
        <v>1</v>
      </c>
      <c r="O104" s="503">
        <f>IF((M104=0),0,N104/M104)</f>
        <v>1</v>
      </c>
      <c r="P104" s="504">
        <f>SUMIF('Diags Raw Data'!$A$6:$A$3786,"*"&amp;$A104&amp;"*",'Diags Raw Data'!$Z$6:$Z$3786)</f>
        <v>0</v>
      </c>
      <c r="Q104" s="505">
        <f>SUM(SUMIF('Diags Raw Data'!$A$6:$A$3786,"*"&amp;$A104&amp;"*",'Diags Raw Data'!$AA$6:$AA$3786),SUMIF('Diags Raw Data'!$A$6:$A$3786,"*"&amp;$A104&amp;"*",'Diags Raw Data'!$AB$6:$AB$3786))</f>
        <v>0</v>
      </c>
      <c r="R104" s="506">
        <f>IF((J104=0),0,P104/J104)</f>
        <v>0</v>
      </c>
      <c r="S104" s="506">
        <f>IF((P104=0),0,Q104/P104)</f>
        <v>0</v>
      </c>
      <c r="T104" s="507">
        <f>R104*S104</f>
        <v>0</v>
      </c>
      <c r="U104" s="453" t="s">
        <v>286</v>
      </c>
      <c r="V104" s="181"/>
    </row>
    <row r="105" spans="1:22" x14ac:dyDescent="0.25">
      <c r="A105" s="448" t="s">
        <v>774</v>
      </c>
      <c r="B105" s="449" t="str">
        <f>VLOOKUP(A105,'Feature Raw Data'!$A$3:$B$3986,2,FALSE)</f>
        <v>Feature name - EX-FEAT-099</v>
      </c>
      <c r="C105" s="450" t="str">
        <f>VLOOKUP(A105,'Feature Raw Data'!$A$3:$C$3986,3,FALSE)</f>
        <v>P2</v>
      </c>
      <c r="D105" s="451" t="str" cm="1">
        <f t="array" ref="D105">_xlfn.TEXTJOIN("",TRUE,IF(ISNUMBER(SEARCH($A105,'Diags Raw Data'!$A$6:$A$3786)),CONCATENATE('Diags Raw Data'!$H$6:$H$3786,", "),""))</f>
        <v xml:space="preserve">acpaz53,acpaz253, </v>
      </c>
      <c r="E105" s="342" t="str">
        <f>VLOOKUP(A105,'Diags Raw Data'!$A$6:$D$3786,4,FALSE)</f>
        <v>SoundWire</v>
      </c>
      <c r="F105" s="342" t="str">
        <f>VLOOKUP(A105,'Feature Raw Data'!$A$3:$E$3986,5,FALSE)</f>
        <v>Legacy</v>
      </c>
      <c r="G105" s="342" t="str">
        <f t="shared" si="14"/>
        <v>Yes</v>
      </c>
      <c r="H105" s="342" t="str">
        <f t="shared" si="15"/>
        <v>Yes</v>
      </c>
      <c r="I105" s="450">
        <f>SUMIF('Diags Raw Data'!$A$6:$A$3786,"*"&amp;$A105&amp;"*",'Diags Raw Data'!$K$6:$K$3786)</f>
        <v>1</v>
      </c>
      <c r="J105" s="452">
        <f>SUMIF('Diags Raw Data'!$A$6:$A$3786,"*"&amp;$A105&amp;"*",'Diags Raw Data'!$L$6:$L$3786)</f>
        <v>1</v>
      </c>
      <c r="K105" s="499" cm="1">
        <f t="array" ref="K105">IF(D105="",0, SUMPRODUCT(--(ISNUMBER(SEARCH($A105,'Diags Raw Data'!$A$6:$A$3786))),'Diags Raw Data'!$L$6:$L$3786,'Diags Raw Data'!$N$6:$N$3786)/J105)</f>
        <v>1</v>
      </c>
      <c r="L105" s="500" cm="1">
        <f t="array" ref="L105">IF(D105="",0, SUMPRODUCT(--(ISNUMBER(SEARCH($A105,'Diags Raw Data'!$A$6:$A$3786))),'Diags Raw Data'!$L$6:$L$3786,'Diags Raw Data'!$P$6:$P$3786)/J105)</f>
        <v>1</v>
      </c>
      <c r="M105" s="501" cm="1">
        <f t="array" ref="M105">SUMPRODUCT(--(ISNUMBER(SEARCH($A105,'Diags Raw Data'!$A$6:$A$3786))),--('Diags Raw Data'!$Q$6:$Q$3786&lt;&gt;"N/A"),'Diags Raw Data'!$R$6:$R$3786)</f>
        <v>1</v>
      </c>
      <c r="N105" s="502" cm="1">
        <f t="array" ref="N105">SUMPRODUCT(--(ISNUMBER(SEARCH($A105,'Diags Raw Data'!$A$6:$A$3786))),--('Diags Raw Data'!$Q$6:$Q$3786&lt;&gt;"N/A"),'Diags Raw Data'!$T$6:$T$3786)+SUMPRODUCT(--(ISNUMBER(SEARCH($A105,'Diags Raw Data'!$A$6:$A$3786))),--('Diags Raw Data'!$Q$6:$Q$3786&lt;&gt;"N/A"),'Diags Raw Data'!$U$6:$U$3786)</f>
        <v>1</v>
      </c>
      <c r="O105" s="503">
        <f t="shared" ref="O105:O106" si="32">IF((M105=0),0,N105/M105)</f>
        <v>1</v>
      </c>
      <c r="P105" s="504">
        <f>SUMIF('Diags Raw Data'!$A$6:$A$3786,"*"&amp;$A105&amp;"*",'Diags Raw Data'!$Z$6:$Z$3786)</f>
        <v>0</v>
      </c>
      <c r="Q105" s="505">
        <f>SUM(SUMIF('Diags Raw Data'!$A$6:$A$3786,"*"&amp;$A105&amp;"*",'Diags Raw Data'!$AA$6:$AA$3786),SUMIF('Diags Raw Data'!$A$6:$A$3786,"*"&amp;$A105&amp;"*",'Diags Raw Data'!$AB$6:$AB$3786))</f>
        <v>0</v>
      </c>
      <c r="R105" s="506">
        <f t="shared" ref="R105:R106" si="33">IF((J105=0),0,P105/J105)</f>
        <v>0</v>
      </c>
      <c r="S105" s="506">
        <f t="shared" ref="S105:S106" si="34">IF((P105=0),0,Q105/P105)</f>
        <v>0</v>
      </c>
      <c r="T105" s="507">
        <f>R105*S105</f>
        <v>0</v>
      </c>
      <c r="U105" s="453" t="s">
        <v>286</v>
      </c>
      <c r="V105" s="181"/>
    </row>
    <row r="106" spans="1:22" x14ac:dyDescent="0.25">
      <c r="A106" s="448" t="s">
        <v>776</v>
      </c>
      <c r="B106" s="449" t="str">
        <f>VLOOKUP(A106,'Feature Raw Data'!$A$3:$B$3986,2,FALSE)</f>
        <v>Feature name - EX-FEAT-100</v>
      </c>
      <c r="C106" s="450" t="str">
        <f>VLOOKUP(A106,'Feature Raw Data'!$A$3:$C$3986,3,FALSE)</f>
        <v>P2</v>
      </c>
      <c r="D106" s="451" t="str" cm="1">
        <f t="array" ref="D106">_xlfn.TEXTJOIN("",TRUE,IF(ISNUMBER(SEARCH($A106,'Diags Raw Data'!$A$6:$A$3786)),CONCATENATE('Diags Raw Data'!$H$6:$H$3786,", "),""))</f>
        <v xml:space="preserve">acpaz51,acpaz251, </v>
      </c>
      <c r="E106" s="342" t="str">
        <f>VLOOKUP(A106,'Diags Raw Data'!$A$6:$D$3786,4,FALSE)</f>
        <v>SoundWire</v>
      </c>
      <c r="F106" s="342" t="str">
        <f>VLOOKUP(A106,'Feature Raw Data'!$A$3:$E$3986,5,FALSE)</f>
        <v>Legacy</v>
      </c>
      <c r="G106" s="342" t="str">
        <f t="shared" si="14"/>
        <v>Yes</v>
      </c>
      <c r="H106" s="342" t="str">
        <f t="shared" si="15"/>
        <v>Yes</v>
      </c>
      <c r="I106" s="450">
        <f>SUMIF('Diags Raw Data'!$A$6:$A$3786,"*"&amp;$A106&amp;"*",'Diags Raw Data'!$K$6:$K$3786)</f>
        <v>1</v>
      </c>
      <c r="J106" s="452">
        <f>SUMIF('Diags Raw Data'!$A$6:$A$3786,"*"&amp;$A106&amp;"*",'Diags Raw Data'!$L$6:$L$3786)</f>
        <v>1</v>
      </c>
      <c r="K106" s="499" cm="1">
        <f t="array" ref="K106">IF(D106="",0, SUMPRODUCT(--(ISNUMBER(SEARCH($A106,'Diags Raw Data'!$A$6:$A$3786))),'Diags Raw Data'!$L$6:$L$3786,'Diags Raw Data'!$N$6:$N$3786)/J106)</f>
        <v>1</v>
      </c>
      <c r="L106" s="500" cm="1">
        <f t="array" ref="L106">IF(D106="",0, SUMPRODUCT(--(ISNUMBER(SEARCH($A106,'Diags Raw Data'!$A$6:$A$3786))),'Diags Raw Data'!$L$6:$L$3786,'Diags Raw Data'!$P$6:$P$3786)/J106)</f>
        <v>1</v>
      </c>
      <c r="M106" s="501" cm="1">
        <f t="array" ref="M106">SUMPRODUCT(--(ISNUMBER(SEARCH($A106,'Diags Raw Data'!$A$6:$A$3786))),--('Diags Raw Data'!$Q$6:$Q$3786&lt;&gt;"N/A"),'Diags Raw Data'!$R$6:$R$3786)</f>
        <v>1</v>
      </c>
      <c r="N106" s="502" cm="1">
        <f t="array" ref="N106">SUMPRODUCT(--(ISNUMBER(SEARCH($A106,'Diags Raw Data'!$A$6:$A$3786))),--('Diags Raw Data'!$Q$6:$Q$3786&lt;&gt;"N/A"),'Diags Raw Data'!$T$6:$T$3786)+SUMPRODUCT(--(ISNUMBER(SEARCH($A106,'Diags Raw Data'!$A$6:$A$3786))),--('Diags Raw Data'!$Q$6:$Q$3786&lt;&gt;"N/A"),'Diags Raw Data'!$U$6:$U$3786)</f>
        <v>1</v>
      </c>
      <c r="O106" s="503">
        <f t="shared" si="32"/>
        <v>1</v>
      </c>
      <c r="P106" s="504">
        <f>SUMIF('Diags Raw Data'!$A$6:$A$3786,"*"&amp;$A106&amp;"*",'Diags Raw Data'!$Z$6:$Z$3786)</f>
        <v>0</v>
      </c>
      <c r="Q106" s="505">
        <f>SUM(SUMIF('Diags Raw Data'!$A$6:$A$3786,"*"&amp;$A106&amp;"*",'Diags Raw Data'!$AA$6:$AA$3786),SUMIF('Diags Raw Data'!$A$6:$A$3786,"*"&amp;$A106&amp;"*",'Diags Raw Data'!$AB$6:$AB$3786))</f>
        <v>0</v>
      </c>
      <c r="R106" s="506">
        <f t="shared" si="33"/>
        <v>0</v>
      </c>
      <c r="S106" s="506">
        <f t="shared" si="34"/>
        <v>0</v>
      </c>
      <c r="T106" s="507">
        <f t="shared" ref="T106" si="35">R106*S106</f>
        <v>0</v>
      </c>
      <c r="U106" s="453" t="s">
        <v>1113</v>
      </c>
      <c r="V106" s="181"/>
    </row>
    <row r="107" spans="1:22" x14ac:dyDescent="0.25">
      <c r="A107" s="448" t="s">
        <v>781</v>
      </c>
      <c r="B107" s="449" t="str">
        <f>VLOOKUP(A107,'Feature Raw Data'!$A$3:$B$3986,2,FALSE)</f>
        <v>Feature name - EX-FEAT-101</v>
      </c>
      <c r="C107" s="450" t="str">
        <f>VLOOKUP(A107,'Feature Raw Data'!$A$3:$C$3986,3,FALSE)</f>
        <v>P2</v>
      </c>
      <c r="D107" s="451" t="str" cm="1">
        <f t="array" ref="D107">_xlfn.TEXTJOIN("",TRUE,IF(ISNUMBER(SEARCH($A107,'Diags Raw Data'!$A$6:$A$3786)),CONCATENATE('Diags Raw Data'!$H$6:$H$3786,", "),""))</f>
        <v xml:space="preserve">Manual, </v>
      </c>
      <c r="E107" s="342" t="str">
        <f>VLOOKUP(A107,'Diags Raw Data'!$A$6:$D$3786,4,FALSE)</f>
        <v>SoundWire</v>
      </c>
      <c r="F107" s="342" t="str">
        <f>VLOOKUP(A107,'Feature Raw Data'!$A$3:$E$3986,5,FALSE)</f>
        <v>Legacy</v>
      </c>
      <c r="G107" s="342" t="str">
        <f t="shared" si="8"/>
        <v>Yes</v>
      </c>
      <c r="H107" s="342" t="str">
        <f t="shared" si="9"/>
        <v>Yes</v>
      </c>
      <c r="I107" s="450">
        <f>SUMIF('Diags Raw Data'!$A$6:$A$3786,"*"&amp;$A107&amp;"*",'Diags Raw Data'!$K$6:$K$3786)</f>
        <v>1</v>
      </c>
      <c r="J107" s="452">
        <f>SUMIF('Diags Raw Data'!$A$6:$A$3786,"*"&amp;$A107&amp;"*",'Diags Raw Data'!$L$6:$L$3786)</f>
        <v>1</v>
      </c>
      <c r="K107" s="499" cm="1">
        <f t="array" ref="K107">IF(D107="",0, SUMPRODUCT(--(ISNUMBER(SEARCH($A107,'Diags Raw Data'!$A$6:$A$3786))),'Diags Raw Data'!$L$6:$L$3786,'Diags Raw Data'!$N$6:$N$3786)/J107)</f>
        <v>1</v>
      </c>
      <c r="L107" s="500" cm="1">
        <f t="array" ref="L107">IF(D107="",0, SUMPRODUCT(--(ISNUMBER(SEARCH($A107,'Diags Raw Data'!$A$6:$A$3786))),'Diags Raw Data'!$L$6:$L$3786,'Diags Raw Data'!$P$6:$P$3786)/J107)</f>
        <v>1</v>
      </c>
      <c r="M107" s="501" cm="1">
        <f t="array" ref="M107">SUMPRODUCT(--(ISNUMBER(SEARCH($A107,'Diags Raw Data'!$A$6:$A$3786))),--('Diags Raw Data'!$Q$6:$Q$3786&lt;&gt;"N/A"),'Diags Raw Data'!$R$6:$R$3786)</f>
        <v>1</v>
      </c>
      <c r="N107" s="502" cm="1">
        <f t="array" ref="N107">SUMPRODUCT(--(ISNUMBER(SEARCH($A107,'Diags Raw Data'!$A$6:$A$3786))),--('Diags Raw Data'!$Q$6:$Q$3786&lt;&gt;"N/A"),'Diags Raw Data'!$T$6:$T$3786)+SUMPRODUCT(--(ISNUMBER(SEARCH($A107,'Diags Raw Data'!$A$6:$A$3786))),--('Diags Raw Data'!$Q$6:$Q$3786&lt;&gt;"N/A"),'Diags Raw Data'!$U$6:$U$3786)</f>
        <v>1</v>
      </c>
      <c r="O107" s="503">
        <f t="shared" si="13"/>
        <v>1</v>
      </c>
      <c r="P107" s="504">
        <f>SUMIF('Diags Raw Data'!$A$6:$A$3786,"*"&amp;$A107&amp;"*",'Diags Raw Data'!$Z$6:$Z$3786)</f>
        <v>0</v>
      </c>
      <c r="Q107" s="505">
        <f>SUM(SUMIF('Diags Raw Data'!$A$6:$A$3786,"*"&amp;$A107&amp;"*",'Diags Raw Data'!$AA$6:$AA$3786),SUMIF('Diags Raw Data'!$A$6:$A$3786,"*"&amp;$A107&amp;"*",'Diags Raw Data'!$AB$6:$AB$3786))</f>
        <v>0</v>
      </c>
      <c r="R107" s="506">
        <f t="shared" si="10"/>
        <v>0</v>
      </c>
      <c r="S107" s="506">
        <f t="shared" si="11"/>
        <v>0</v>
      </c>
      <c r="T107" s="507">
        <f t="shared" si="12"/>
        <v>0</v>
      </c>
      <c r="U107" s="453" t="s">
        <v>1112</v>
      </c>
      <c r="V107" s="181"/>
    </row>
    <row r="108" spans="1:22" x14ac:dyDescent="0.25">
      <c r="A108" s="448" t="s">
        <v>784</v>
      </c>
      <c r="B108" s="449" t="str">
        <f>VLOOKUP(A108,'Feature Raw Data'!$A$3:$B$3986,2,FALSE)</f>
        <v>Feature name - EX-FEAT-102</v>
      </c>
      <c r="C108" s="450" t="str">
        <f>VLOOKUP(A108,'Feature Raw Data'!$A$3:$C$3986,3,FALSE)</f>
        <v>P2</v>
      </c>
      <c r="D108" s="451" t="str" cm="1">
        <f t="array" ref="D108">_xlfn.TEXTJOIN("",TRUE,IF(ISNUMBER(SEARCH($A108,'Diags Raw Data'!$A$6:$A$3786)),CONCATENATE('Diags Raw Data'!$H$6:$H$3786,", "),""))</f>
        <v xml:space="preserve">acpaz45,acpaz245, </v>
      </c>
      <c r="E108" s="342" t="str">
        <f>VLOOKUP(A108,'Diags Raw Data'!$A$6:$D$3786,4,FALSE)</f>
        <v>SoundWire</v>
      </c>
      <c r="F108" s="342" t="str">
        <f>VLOOKUP(A108,'Feature Raw Data'!$A$3:$E$3986,5,FALSE)</f>
        <v>Legacy</v>
      </c>
      <c r="G108" s="342" t="str">
        <f t="shared" si="8"/>
        <v>Yes</v>
      </c>
      <c r="H108" s="342" t="str">
        <f t="shared" si="9"/>
        <v>Yes</v>
      </c>
      <c r="I108" s="450">
        <f>SUMIF('Diags Raw Data'!$A$6:$A$3786,"*"&amp;$A108&amp;"*",'Diags Raw Data'!$K$6:$K$3786)</f>
        <v>1</v>
      </c>
      <c r="J108" s="452">
        <f>SUMIF('Diags Raw Data'!$A$6:$A$3786,"*"&amp;$A108&amp;"*",'Diags Raw Data'!$L$6:$L$3786)</f>
        <v>1</v>
      </c>
      <c r="K108" s="499" cm="1">
        <f t="array" ref="K108">IF(D108="",0, SUMPRODUCT(--(ISNUMBER(SEARCH($A108,'Diags Raw Data'!$A$6:$A$3786))),'Diags Raw Data'!$L$6:$L$3786,'Diags Raw Data'!$N$6:$N$3786)/J108)</f>
        <v>1</v>
      </c>
      <c r="L108" s="500" cm="1">
        <f t="array" ref="L108">IF(D108="",0, SUMPRODUCT(--(ISNUMBER(SEARCH($A108,'Diags Raw Data'!$A$6:$A$3786))),'Diags Raw Data'!$L$6:$L$3786,'Diags Raw Data'!$P$6:$P$3786)/J108)</f>
        <v>1</v>
      </c>
      <c r="M108" s="501" cm="1">
        <f t="array" ref="M108">SUMPRODUCT(--(ISNUMBER(SEARCH($A108,'Diags Raw Data'!$A$6:$A$3786))),--('Diags Raw Data'!$Q$6:$Q$3786&lt;&gt;"N/A"),'Diags Raw Data'!$R$6:$R$3786)</f>
        <v>1</v>
      </c>
      <c r="N108" s="502" cm="1">
        <f t="array" ref="N108">SUMPRODUCT(--(ISNUMBER(SEARCH($A108,'Diags Raw Data'!$A$6:$A$3786))),--('Diags Raw Data'!$Q$6:$Q$3786&lt;&gt;"N/A"),'Diags Raw Data'!$T$6:$T$3786)+SUMPRODUCT(--(ISNUMBER(SEARCH($A108,'Diags Raw Data'!$A$6:$A$3786))),--('Diags Raw Data'!$Q$6:$Q$3786&lt;&gt;"N/A"),'Diags Raw Data'!$U$6:$U$3786)</f>
        <v>1</v>
      </c>
      <c r="O108" s="503">
        <f t="shared" si="13"/>
        <v>1</v>
      </c>
      <c r="P108" s="504">
        <f>SUMIF('Diags Raw Data'!$A$6:$A$3786,"*"&amp;$A108&amp;"*",'Diags Raw Data'!$Z$6:$Z$3786)</f>
        <v>0</v>
      </c>
      <c r="Q108" s="505">
        <f>SUM(SUMIF('Diags Raw Data'!$A$6:$A$3786,"*"&amp;$A108&amp;"*",'Diags Raw Data'!$AA$6:$AA$3786),SUMIF('Diags Raw Data'!$A$6:$A$3786,"*"&amp;$A108&amp;"*",'Diags Raw Data'!$AB$6:$AB$3786))</f>
        <v>0</v>
      </c>
      <c r="R108" s="506">
        <f t="shared" si="10"/>
        <v>0</v>
      </c>
      <c r="S108" s="506">
        <f t="shared" si="11"/>
        <v>0</v>
      </c>
      <c r="T108" s="507">
        <f t="shared" si="12"/>
        <v>0</v>
      </c>
      <c r="U108" s="453" t="s">
        <v>286</v>
      </c>
      <c r="V108" s="181"/>
    </row>
    <row r="109" spans="1:22" x14ac:dyDescent="0.25">
      <c r="A109" s="448" t="s">
        <v>789</v>
      </c>
      <c r="B109" s="449" t="str">
        <f>VLOOKUP(A109,'Feature Raw Data'!$A$3:$B$3986,2,FALSE)</f>
        <v>Feature name - EX-FEAT-103</v>
      </c>
      <c r="C109" s="450" t="str">
        <f>VLOOKUP(A109,'Feature Raw Data'!$A$3:$C$3986,3,FALSE)</f>
        <v>P2</v>
      </c>
      <c r="D109" s="451" t="str" cm="1">
        <f t="array" ref="D109">_xlfn.TEXTJOIN("",TRUE,IF(ISNUMBER(SEARCH($A109,'Diags Raw Data'!$A$6:$A$3786)),CONCATENATE('Diags Raw Data'!$H$6:$H$3786,", "),""))</f>
        <v xml:space="preserve">acpaz45,acpaz245, </v>
      </c>
      <c r="E109" s="342" t="str">
        <f>VLOOKUP(A109,'Diags Raw Data'!$A$6:$D$3786,4,FALSE)</f>
        <v>SoundWire</v>
      </c>
      <c r="F109" s="342" t="str">
        <f>VLOOKUP(A109,'Feature Raw Data'!$A$3:$E$3986,5,FALSE)</f>
        <v>Legacy</v>
      </c>
      <c r="G109" s="342" t="str">
        <f t="shared" si="8"/>
        <v>Yes</v>
      </c>
      <c r="H109" s="342" t="str">
        <f t="shared" si="9"/>
        <v>Yes</v>
      </c>
      <c r="I109" s="450">
        <f>SUMIF('Diags Raw Data'!$A$6:$A$3786,"*"&amp;$A109&amp;"*",'Diags Raw Data'!$K$6:$K$3786)</f>
        <v>1</v>
      </c>
      <c r="J109" s="452">
        <f>SUMIF('Diags Raw Data'!$A$6:$A$3786,"*"&amp;$A109&amp;"*",'Diags Raw Data'!$L$6:$L$3786)</f>
        <v>1</v>
      </c>
      <c r="K109" s="499" cm="1">
        <f t="array" ref="K109">IF(D109="",0, SUMPRODUCT(--(ISNUMBER(SEARCH($A109,'Diags Raw Data'!$A$6:$A$3786))),'Diags Raw Data'!$L$6:$L$3786,'Diags Raw Data'!$N$6:$N$3786)/J109)</f>
        <v>1</v>
      </c>
      <c r="L109" s="500" cm="1">
        <f t="array" ref="L109">IF(D109="",0, SUMPRODUCT(--(ISNUMBER(SEARCH($A109,'Diags Raw Data'!$A$6:$A$3786))),'Diags Raw Data'!$L$6:$L$3786,'Diags Raw Data'!$P$6:$P$3786)/J109)</f>
        <v>1</v>
      </c>
      <c r="M109" s="501" cm="1">
        <f t="array" ref="M109">SUMPRODUCT(--(ISNUMBER(SEARCH($A109,'Diags Raw Data'!$A$6:$A$3786))),--('Diags Raw Data'!$Q$6:$Q$3786&lt;&gt;"N/A"),'Diags Raw Data'!$R$6:$R$3786)</f>
        <v>1</v>
      </c>
      <c r="N109" s="502" cm="1">
        <f t="array" ref="N109">SUMPRODUCT(--(ISNUMBER(SEARCH($A109,'Diags Raw Data'!$A$6:$A$3786))),--('Diags Raw Data'!$Q$6:$Q$3786&lt;&gt;"N/A"),'Diags Raw Data'!$T$6:$T$3786)+SUMPRODUCT(--(ISNUMBER(SEARCH($A109,'Diags Raw Data'!$A$6:$A$3786))),--('Diags Raw Data'!$Q$6:$Q$3786&lt;&gt;"N/A"),'Diags Raw Data'!$U$6:$U$3786)</f>
        <v>1</v>
      </c>
      <c r="O109" s="503">
        <f t="shared" si="13"/>
        <v>1</v>
      </c>
      <c r="P109" s="504">
        <f>SUMIF('Diags Raw Data'!$A$6:$A$3786,"*"&amp;$A109&amp;"*",'Diags Raw Data'!$Z$6:$Z$3786)</f>
        <v>0</v>
      </c>
      <c r="Q109" s="505">
        <f>SUM(SUMIF('Diags Raw Data'!$A$6:$A$3786,"*"&amp;$A109&amp;"*",'Diags Raw Data'!$AA$6:$AA$3786),SUMIF('Diags Raw Data'!$A$6:$A$3786,"*"&amp;$A109&amp;"*",'Diags Raw Data'!$AB$6:$AB$3786))</f>
        <v>0</v>
      </c>
      <c r="R109" s="506">
        <f t="shared" si="10"/>
        <v>0</v>
      </c>
      <c r="S109" s="506">
        <f t="shared" si="11"/>
        <v>0</v>
      </c>
      <c r="T109" s="507">
        <f t="shared" si="12"/>
        <v>0</v>
      </c>
      <c r="U109" s="453" t="s">
        <v>1113</v>
      </c>
      <c r="V109" s="181"/>
    </row>
    <row r="110" spans="1:22" ht="45" x14ac:dyDescent="0.25">
      <c r="A110" s="448" t="s">
        <v>792</v>
      </c>
      <c r="B110" s="449" t="str">
        <f>VLOOKUP(A110,'Feature Raw Data'!$A$3:$B$3986,2,FALSE)</f>
        <v>Feature name - EX-FEAT-104</v>
      </c>
      <c r="C110" s="450" t="str">
        <f>VLOOKUP(A110,'Feature Raw Data'!$A$3:$C$3986,3,FALSE)</f>
        <v>P2</v>
      </c>
      <c r="D110" s="451" t="str" cm="1">
        <f t="array" ref="D110">_xlfn.TEXTJOIN("",TRUE,IF(ISNUMBER(SEARCH($A110,'Diags Raw Data'!$A$6:$A$3786)),CONCATENATE('Diags Raw Data'!$H$6:$H$3786,", "),""))</f>
        <v xml:space="preserve">acpaz46,acpaz.246, acpaz46,acpaz.246, acpaz46,acpaz.246, </v>
      </c>
      <c r="E110" s="342" t="str">
        <f>VLOOKUP(A110,'Diags Raw Data'!$A$6:$D$3786,4,FALSE)</f>
        <v>SoundWire</v>
      </c>
      <c r="F110" s="342" t="str">
        <f>VLOOKUP(A110,'Feature Raw Data'!$A$3:$E$3986,5,FALSE)</f>
        <v>Legacy</v>
      </c>
      <c r="G110" s="342" t="str">
        <f t="shared" si="8"/>
        <v>Yes</v>
      </c>
      <c r="H110" s="342" t="str">
        <f t="shared" si="9"/>
        <v>Yes</v>
      </c>
      <c r="I110" s="450">
        <f>SUMIF('Diags Raw Data'!$A$6:$A$3786,"*"&amp;$A110&amp;"*",'Diags Raw Data'!$K$6:$K$3786)</f>
        <v>3</v>
      </c>
      <c r="J110" s="452">
        <f>SUMIF('Diags Raw Data'!$A$6:$A$3786,"*"&amp;$A110&amp;"*",'Diags Raw Data'!$L$6:$L$3786)</f>
        <v>3</v>
      </c>
      <c r="K110" s="499" cm="1">
        <f t="array" ref="K110">IF(D110="",0, SUMPRODUCT(--(ISNUMBER(SEARCH($A110,'Diags Raw Data'!$A$6:$A$3786))),'Diags Raw Data'!$L$6:$L$3786,'Diags Raw Data'!$N$6:$N$3786)/J110)</f>
        <v>1</v>
      </c>
      <c r="L110" s="500" cm="1">
        <f t="array" ref="L110">IF(D110="",0, SUMPRODUCT(--(ISNUMBER(SEARCH($A110,'Diags Raw Data'!$A$6:$A$3786))),'Diags Raw Data'!$L$6:$L$3786,'Diags Raw Data'!$P$6:$P$3786)/J110)</f>
        <v>1</v>
      </c>
      <c r="M110" s="501" cm="1">
        <f t="array" ref="M110">SUMPRODUCT(--(ISNUMBER(SEARCH($A110,'Diags Raw Data'!$A$6:$A$3786))),--('Diags Raw Data'!$Q$6:$Q$3786&lt;&gt;"N/A"),'Diags Raw Data'!$R$6:$R$3786)</f>
        <v>3</v>
      </c>
      <c r="N110" s="502" cm="1">
        <f t="array" ref="N110">SUMPRODUCT(--(ISNUMBER(SEARCH($A110,'Diags Raw Data'!$A$6:$A$3786))),--('Diags Raw Data'!$Q$6:$Q$3786&lt;&gt;"N/A"),'Diags Raw Data'!$T$6:$T$3786)+SUMPRODUCT(--(ISNUMBER(SEARCH($A110,'Diags Raw Data'!$A$6:$A$3786))),--('Diags Raw Data'!$Q$6:$Q$3786&lt;&gt;"N/A"),'Diags Raw Data'!$U$6:$U$3786)</f>
        <v>3</v>
      </c>
      <c r="O110" s="503">
        <f t="shared" si="13"/>
        <v>1</v>
      </c>
      <c r="P110" s="504">
        <f>SUMIF('Diags Raw Data'!$A$6:$A$3786,"*"&amp;$A110&amp;"*",'Diags Raw Data'!$Z$6:$Z$3786)</f>
        <v>0</v>
      </c>
      <c r="Q110" s="505">
        <f>SUM(SUMIF('Diags Raw Data'!$A$6:$A$3786,"*"&amp;$A110&amp;"*",'Diags Raw Data'!$AA$6:$AA$3786),SUMIF('Diags Raw Data'!$A$6:$A$3786,"*"&amp;$A110&amp;"*",'Diags Raw Data'!$AB$6:$AB$3786))</f>
        <v>0</v>
      </c>
      <c r="R110" s="506">
        <f t="shared" si="10"/>
        <v>0</v>
      </c>
      <c r="S110" s="506">
        <f t="shared" si="11"/>
        <v>0</v>
      </c>
      <c r="T110" s="507">
        <f t="shared" si="12"/>
        <v>0</v>
      </c>
      <c r="U110" s="453" t="s">
        <v>1112</v>
      </c>
      <c r="V110" s="181"/>
    </row>
    <row r="111" spans="1:22" x14ac:dyDescent="0.25">
      <c r="A111" s="448" t="s">
        <v>799</v>
      </c>
      <c r="B111" s="449" t="str">
        <f>VLOOKUP(A111,'Feature Raw Data'!$A$3:$B$3986,2,FALSE)</f>
        <v>Feature name - EX-FEAT-105</v>
      </c>
      <c r="C111" s="450" t="str">
        <f>VLOOKUP(A111,'Feature Raw Data'!$A$3:$C$3986,3,FALSE)</f>
        <v>P2</v>
      </c>
      <c r="D111" s="451" t="str" cm="1">
        <f t="array" ref="D111">_xlfn.TEXTJOIN("",TRUE,IF(ISNUMBER(SEARCH($A111,'Diags Raw Data'!$A$6:$A$3786)),CONCATENATE('Diags Raw Data'!$H$6:$H$3786,", "),""))</f>
        <v xml:space="preserve">acpaz52.1, acpaz52.2, </v>
      </c>
      <c r="E111" s="342" t="str">
        <f>VLOOKUP(A111,'Diags Raw Data'!$A$6:$D$3786,4,FALSE)</f>
        <v>SoundWire</v>
      </c>
      <c r="F111" s="342" t="str">
        <f>VLOOKUP(A111,'Feature Raw Data'!$A$3:$E$3986,5,FALSE)</f>
        <v>Legacy</v>
      </c>
      <c r="G111" s="342" t="str">
        <f t="shared" si="8"/>
        <v>Yes</v>
      </c>
      <c r="H111" s="342" t="str">
        <f t="shared" si="9"/>
        <v>Yes</v>
      </c>
      <c r="I111" s="450">
        <f>SUMIF('Diags Raw Data'!$A$6:$A$3786,"*"&amp;$A111&amp;"*",'Diags Raw Data'!$K$6:$K$3786)</f>
        <v>2</v>
      </c>
      <c r="J111" s="452">
        <f>SUMIF('Diags Raw Data'!$A$6:$A$3786,"*"&amp;$A111&amp;"*",'Diags Raw Data'!$L$6:$L$3786)</f>
        <v>2</v>
      </c>
      <c r="K111" s="499" cm="1">
        <f t="array" ref="K111">IF(D111="",0, SUMPRODUCT(--(ISNUMBER(SEARCH($A111,'Diags Raw Data'!$A$6:$A$3786))),'Diags Raw Data'!$L$6:$L$3786,'Diags Raw Data'!$N$6:$N$3786)/J111)</f>
        <v>1</v>
      </c>
      <c r="L111" s="500" cm="1">
        <f t="array" ref="L111">IF(D111="",0, SUMPRODUCT(--(ISNUMBER(SEARCH($A111,'Diags Raw Data'!$A$6:$A$3786))),'Diags Raw Data'!$L$6:$L$3786,'Diags Raw Data'!$P$6:$P$3786)/J111)</f>
        <v>1</v>
      </c>
      <c r="M111" s="501" cm="1">
        <f t="array" ref="M111">SUMPRODUCT(--(ISNUMBER(SEARCH($A111,'Diags Raw Data'!$A$6:$A$3786))),--('Diags Raw Data'!$Q$6:$Q$3786&lt;&gt;"N/A"),'Diags Raw Data'!$R$6:$R$3786)</f>
        <v>2</v>
      </c>
      <c r="N111" s="502" cm="1">
        <f t="array" ref="N111">SUMPRODUCT(--(ISNUMBER(SEARCH($A111,'Diags Raw Data'!$A$6:$A$3786))),--('Diags Raw Data'!$Q$6:$Q$3786&lt;&gt;"N/A"),'Diags Raw Data'!$T$6:$T$3786)+SUMPRODUCT(--(ISNUMBER(SEARCH($A111,'Diags Raw Data'!$A$6:$A$3786))),--('Diags Raw Data'!$Q$6:$Q$3786&lt;&gt;"N/A"),'Diags Raw Data'!$U$6:$U$3786)</f>
        <v>2</v>
      </c>
      <c r="O111" s="503">
        <f t="shared" si="13"/>
        <v>1</v>
      </c>
      <c r="P111" s="504">
        <f>SUMIF('Diags Raw Data'!$A$6:$A$3786,"*"&amp;$A111&amp;"*",'Diags Raw Data'!$Z$6:$Z$3786)</f>
        <v>0</v>
      </c>
      <c r="Q111" s="505">
        <f>SUM(SUMIF('Diags Raw Data'!$A$6:$A$3786,"*"&amp;$A111&amp;"*",'Diags Raw Data'!$AA$6:$AA$3786),SUMIF('Diags Raw Data'!$A$6:$A$3786,"*"&amp;$A111&amp;"*",'Diags Raw Data'!$AB$6:$AB$3786))</f>
        <v>0</v>
      </c>
      <c r="R111" s="506">
        <f t="shared" si="10"/>
        <v>0</v>
      </c>
      <c r="S111" s="506">
        <f t="shared" si="11"/>
        <v>0</v>
      </c>
      <c r="T111" s="507">
        <f t="shared" si="12"/>
        <v>0</v>
      </c>
      <c r="U111" s="453" t="s">
        <v>1112</v>
      </c>
      <c r="V111" s="181"/>
    </row>
    <row r="112" spans="1:22" x14ac:dyDescent="0.25">
      <c r="A112" s="448" t="s">
        <v>807</v>
      </c>
      <c r="B112" s="449" t="str">
        <f>VLOOKUP(A112,'Feature Raw Data'!$A$3:$B$3986,2,FALSE)</f>
        <v>Feature name - EX-FEAT-106</v>
      </c>
      <c r="C112" s="450" t="str">
        <f>VLOOKUP(A112,'Feature Raw Data'!$A$3:$C$3986,3,FALSE)</f>
        <v>P2</v>
      </c>
      <c r="D112" s="451" t="str" cm="1">
        <f t="array" ref="D112">_xlfn.TEXTJOIN("",TRUE,IF(ISNUMBER(SEARCH($A112,'Diags Raw Data'!$A$6:$A$3786)),CONCATENATE('Diags Raw Data'!$H$6:$H$3786,", "),""))</f>
        <v xml:space="preserve">acpaz50,acpaz250, </v>
      </c>
      <c r="E112" s="342" t="str">
        <f>VLOOKUP(A112,'Diags Raw Data'!$A$6:$D$3786,4,FALSE)</f>
        <v>SoundWire</v>
      </c>
      <c r="F112" s="342" t="str">
        <f>VLOOKUP(A112,'Feature Raw Data'!$A$3:$E$3986,5,FALSE)</f>
        <v>Legacy</v>
      </c>
      <c r="G112" s="342" t="str">
        <f t="shared" si="8"/>
        <v>Yes</v>
      </c>
      <c r="H112" s="342" t="str">
        <f t="shared" si="9"/>
        <v>Yes</v>
      </c>
      <c r="I112" s="450">
        <f>SUMIF('Diags Raw Data'!$A$6:$A$3786,"*"&amp;$A112&amp;"*",'Diags Raw Data'!$K$6:$K$3786)</f>
        <v>1</v>
      </c>
      <c r="J112" s="452">
        <f>SUMIF('Diags Raw Data'!$A$6:$A$3786,"*"&amp;$A112&amp;"*",'Diags Raw Data'!$L$6:$L$3786)</f>
        <v>1</v>
      </c>
      <c r="K112" s="499" cm="1">
        <f t="array" ref="K112">IF(D112="",0, SUMPRODUCT(--(ISNUMBER(SEARCH($A112,'Diags Raw Data'!$A$6:$A$3786))),'Diags Raw Data'!$L$6:$L$3786,'Diags Raw Data'!$N$6:$N$3786)/J112)</f>
        <v>1</v>
      </c>
      <c r="L112" s="500" cm="1">
        <f t="array" ref="L112">IF(D112="",0, SUMPRODUCT(--(ISNUMBER(SEARCH($A112,'Diags Raw Data'!$A$6:$A$3786))),'Diags Raw Data'!$L$6:$L$3786,'Diags Raw Data'!$P$6:$P$3786)/J112)</f>
        <v>1</v>
      </c>
      <c r="M112" s="501" cm="1">
        <f t="array" ref="M112">SUMPRODUCT(--(ISNUMBER(SEARCH($A112,'Diags Raw Data'!$A$6:$A$3786))),--('Diags Raw Data'!$Q$6:$Q$3786&lt;&gt;"N/A"),'Diags Raw Data'!$R$6:$R$3786)</f>
        <v>1</v>
      </c>
      <c r="N112" s="502" cm="1">
        <f t="array" ref="N112">SUMPRODUCT(--(ISNUMBER(SEARCH($A112,'Diags Raw Data'!$A$6:$A$3786))),--('Diags Raw Data'!$Q$6:$Q$3786&lt;&gt;"N/A"),'Diags Raw Data'!$T$6:$T$3786)+SUMPRODUCT(--(ISNUMBER(SEARCH($A112,'Diags Raw Data'!$A$6:$A$3786))),--('Diags Raw Data'!$Q$6:$Q$3786&lt;&gt;"N/A"),'Diags Raw Data'!$U$6:$U$3786)</f>
        <v>1</v>
      </c>
      <c r="O112" s="503">
        <f t="shared" si="13"/>
        <v>1</v>
      </c>
      <c r="P112" s="504">
        <f>SUMIF('Diags Raw Data'!$A$6:$A$3786,"*"&amp;$A112&amp;"*",'Diags Raw Data'!$Z$6:$Z$3786)</f>
        <v>0</v>
      </c>
      <c r="Q112" s="505">
        <f>SUM(SUMIF('Diags Raw Data'!$A$6:$A$3786,"*"&amp;$A112&amp;"*",'Diags Raw Data'!$AA$6:$AA$3786),SUMIF('Diags Raw Data'!$A$6:$A$3786,"*"&amp;$A112&amp;"*",'Diags Raw Data'!$AB$6:$AB$3786))</f>
        <v>0</v>
      </c>
      <c r="R112" s="506">
        <f t="shared" si="10"/>
        <v>0</v>
      </c>
      <c r="S112" s="506">
        <f t="shared" si="11"/>
        <v>0</v>
      </c>
      <c r="T112" s="507">
        <f t="shared" si="12"/>
        <v>0</v>
      </c>
      <c r="U112" s="453" t="s">
        <v>1112</v>
      </c>
      <c r="V112" s="181"/>
    </row>
    <row r="113" spans="1:22" x14ac:dyDescent="0.25">
      <c r="A113" s="448" t="s">
        <v>809</v>
      </c>
      <c r="B113" s="449" t="str">
        <f>VLOOKUP(A113,'Feature Raw Data'!$A$3:$B$3986,2,FALSE)</f>
        <v>Feature name - EX-FEAT-107</v>
      </c>
      <c r="C113" s="450" t="str">
        <f>VLOOKUP(A113,'Feature Raw Data'!$A$3:$C$3986,3,FALSE)</f>
        <v>P2</v>
      </c>
      <c r="D113" s="451" t="str" cm="1">
        <f t="array" ref="D113">_xlfn.TEXTJOIN("",TRUE,IF(ISNUMBER(SEARCH($A113,'Diags Raw Data'!$A$6:$A$3786)),CONCATENATE('Diags Raw Data'!$H$6:$H$3786,", "),""))</f>
        <v xml:space="preserve">acpaz50,acpaz250, </v>
      </c>
      <c r="E113" s="342" t="str">
        <f>VLOOKUP(A113,'Diags Raw Data'!$A$6:$D$3786,4,FALSE)</f>
        <v>SoundWire</v>
      </c>
      <c r="F113" s="342" t="str">
        <f>VLOOKUP(A113,'Feature Raw Data'!$A$3:$E$3986,5,FALSE)</f>
        <v>Legacy</v>
      </c>
      <c r="G113" s="342" t="str">
        <f t="shared" si="8"/>
        <v>Yes</v>
      </c>
      <c r="H113" s="342" t="str">
        <f t="shared" si="9"/>
        <v>Yes</v>
      </c>
      <c r="I113" s="450">
        <f>SUMIF('Diags Raw Data'!$A$6:$A$3786,"*"&amp;$A113&amp;"*",'Diags Raw Data'!$K$6:$K$3786)</f>
        <v>1</v>
      </c>
      <c r="J113" s="452">
        <f>SUMIF('Diags Raw Data'!$A$6:$A$3786,"*"&amp;$A113&amp;"*",'Diags Raw Data'!$L$6:$L$3786)</f>
        <v>1</v>
      </c>
      <c r="K113" s="499" cm="1">
        <f t="array" ref="K113">IF(D113="",0, SUMPRODUCT(--(ISNUMBER(SEARCH($A113,'Diags Raw Data'!$A$6:$A$3786))),'Diags Raw Data'!$L$6:$L$3786,'Diags Raw Data'!$N$6:$N$3786)/J113)</f>
        <v>1</v>
      </c>
      <c r="L113" s="500" cm="1">
        <f t="array" ref="L113">IF(D113="",0, SUMPRODUCT(--(ISNUMBER(SEARCH($A113,'Diags Raw Data'!$A$6:$A$3786))),'Diags Raw Data'!$L$6:$L$3786,'Diags Raw Data'!$P$6:$P$3786)/J113)</f>
        <v>1</v>
      </c>
      <c r="M113" s="501" cm="1">
        <f t="array" ref="M113">SUMPRODUCT(--(ISNUMBER(SEARCH($A113,'Diags Raw Data'!$A$6:$A$3786))),--('Diags Raw Data'!$Q$6:$Q$3786&lt;&gt;"N/A"),'Diags Raw Data'!$R$6:$R$3786)</f>
        <v>1</v>
      </c>
      <c r="N113" s="502" cm="1">
        <f t="array" ref="N113">SUMPRODUCT(--(ISNUMBER(SEARCH($A113,'Diags Raw Data'!$A$6:$A$3786))),--('Diags Raw Data'!$Q$6:$Q$3786&lt;&gt;"N/A"),'Diags Raw Data'!$T$6:$T$3786)+SUMPRODUCT(--(ISNUMBER(SEARCH($A113,'Diags Raw Data'!$A$6:$A$3786))),--('Diags Raw Data'!$Q$6:$Q$3786&lt;&gt;"N/A"),'Diags Raw Data'!$U$6:$U$3786)</f>
        <v>1</v>
      </c>
      <c r="O113" s="503">
        <f t="shared" si="13"/>
        <v>1</v>
      </c>
      <c r="P113" s="504">
        <f>SUMIF('Diags Raw Data'!$A$6:$A$3786,"*"&amp;$A113&amp;"*",'Diags Raw Data'!$Z$6:$Z$3786)</f>
        <v>0</v>
      </c>
      <c r="Q113" s="505">
        <f>SUM(SUMIF('Diags Raw Data'!$A$6:$A$3786,"*"&amp;$A113&amp;"*",'Diags Raw Data'!$AA$6:$AA$3786),SUMIF('Diags Raw Data'!$A$6:$A$3786,"*"&amp;$A113&amp;"*",'Diags Raw Data'!$AB$6:$AB$3786))</f>
        <v>0</v>
      </c>
      <c r="R113" s="506">
        <f t="shared" si="10"/>
        <v>0</v>
      </c>
      <c r="S113" s="506">
        <f t="shared" si="11"/>
        <v>0</v>
      </c>
      <c r="T113" s="507">
        <f t="shared" si="12"/>
        <v>0</v>
      </c>
      <c r="U113" s="453" t="s">
        <v>1113</v>
      </c>
      <c r="V113" s="181"/>
    </row>
    <row r="114" spans="1:22" ht="30" x14ac:dyDescent="0.25">
      <c r="A114" s="448" t="s">
        <v>810</v>
      </c>
      <c r="B114" s="449" t="str">
        <f>VLOOKUP(A114,'Feature Raw Data'!$A$3:$B$3986,2,FALSE)</f>
        <v>Feature name - EX-FEAT-108</v>
      </c>
      <c r="C114" s="450" t="str">
        <f>VLOOKUP(A114,'Feature Raw Data'!$A$3:$C$3986,3,FALSE)</f>
        <v>P2</v>
      </c>
      <c r="D114" s="451" t="str" cm="1">
        <f t="array" ref="D114">_xlfn.TEXTJOIN("",TRUE,IF(ISNUMBER(SEARCH($A114,'Diags Raw Data'!$A$6:$A$3786)),CONCATENATE('Diags Raw Data'!$H$6:$H$3786,", "),""))</f>
        <v xml:space="preserve">acpaz46,acpaz246, acpaz46,acpaz246, acpaz46,acpaz.246, </v>
      </c>
      <c r="E114" s="342" t="str">
        <f>VLOOKUP(A114,'Diags Raw Data'!$A$6:$D$3786,4,FALSE)</f>
        <v>SoundWire</v>
      </c>
      <c r="F114" s="342" t="str">
        <f>VLOOKUP(A114,'Feature Raw Data'!$A$3:$E$3986,5,FALSE)</f>
        <v>Legacy</v>
      </c>
      <c r="G114" s="342" t="str">
        <f t="shared" si="8"/>
        <v>Yes</v>
      </c>
      <c r="H114" s="342" t="str">
        <f t="shared" si="9"/>
        <v>Yes</v>
      </c>
      <c r="I114" s="450">
        <f>SUMIF('Diags Raw Data'!$A$6:$A$3786,"*"&amp;$A114&amp;"*",'Diags Raw Data'!$K$6:$K$3786)</f>
        <v>3</v>
      </c>
      <c r="J114" s="452">
        <f>SUMIF('Diags Raw Data'!$A$6:$A$3786,"*"&amp;$A114&amp;"*",'Diags Raw Data'!$L$6:$L$3786)</f>
        <v>3</v>
      </c>
      <c r="K114" s="499" cm="1">
        <f t="array" ref="K114">IF(D114="",0, SUMPRODUCT(--(ISNUMBER(SEARCH($A114,'Diags Raw Data'!$A$6:$A$3786))),'Diags Raw Data'!$L$6:$L$3786,'Diags Raw Data'!$N$6:$N$3786)/J114)</f>
        <v>1</v>
      </c>
      <c r="L114" s="500" cm="1">
        <f t="array" ref="L114">IF(D114="",0, SUMPRODUCT(--(ISNUMBER(SEARCH($A114,'Diags Raw Data'!$A$6:$A$3786))),'Diags Raw Data'!$L$6:$L$3786,'Diags Raw Data'!$P$6:$P$3786)/J114)</f>
        <v>1</v>
      </c>
      <c r="M114" s="501" cm="1">
        <f t="array" ref="M114">SUMPRODUCT(--(ISNUMBER(SEARCH($A114,'Diags Raw Data'!$A$6:$A$3786))),--('Diags Raw Data'!$Q$6:$Q$3786&lt;&gt;"N/A"),'Diags Raw Data'!$R$6:$R$3786)</f>
        <v>3</v>
      </c>
      <c r="N114" s="502" cm="1">
        <f t="array" ref="N114">SUMPRODUCT(--(ISNUMBER(SEARCH($A114,'Diags Raw Data'!$A$6:$A$3786))),--('Diags Raw Data'!$Q$6:$Q$3786&lt;&gt;"N/A"),'Diags Raw Data'!$T$6:$T$3786)+SUMPRODUCT(--(ISNUMBER(SEARCH($A114,'Diags Raw Data'!$A$6:$A$3786))),--('Diags Raw Data'!$Q$6:$Q$3786&lt;&gt;"N/A"),'Diags Raw Data'!$U$6:$U$3786)</f>
        <v>3</v>
      </c>
      <c r="O114" s="503">
        <f t="shared" si="13"/>
        <v>1</v>
      </c>
      <c r="P114" s="504">
        <f>SUMIF('Diags Raw Data'!$A$6:$A$3786,"*"&amp;$A114&amp;"*",'Diags Raw Data'!$Z$6:$Z$3786)</f>
        <v>0</v>
      </c>
      <c r="Q114" s="505">
        <f>SUM(SUMIF('Diags Raw Data'!$A$6:$A$3786,"*"&amp;$A114&amp;"*",'Diags Raw Data'!$AA$6:$AA$3786),SUMIF('Diags Raw Data'!$A$6:$A$3786,"*"&amp;$A114&amp;"*",'Diags Raw Data'!$AB$6:$AB$3786))</f>
        <v>0</v>
      </c>
      <c r="R114" s="506">
        <f t="shared" si="10"/>
        <v>0</v>
      </c>
      <c r="S114" s="506">
        <f t="shared" si="11"/>
        <v>0</v>
      </c>
      <c r="T114" s="507">
        <f t="shared" si="12"/>
        <v>0</v>
      </c>
      <c r="U114" s="453" t="s">
        <v>1112</v>
      </c>
      <c r="V114" s="181"/>
    </row>
    <row r="115" spans="1:22" ht="45" x14ac:dyDescent="0.25">
      <c r="A115" s="448" t="s">
        <v>812</v>
      </c>
      <c r="B115" s="449" t="str">
        <f>VLOOKUP(A115,'Feature Raw Data'!$A$3:$B$3986,2,FALSE)</f>
        <v>Feature name - EX-FEAT-109</v>
      </c>
      <c r="C115" s="450" t="str">
        <f>VLOOKUP(A115,'Feature Raw Data'!$A$3:$C$3986,3,FALSE)</f>
        <v>P2</v>
      </c>
      <c r="D115" s="451" t="str" cm="1">
        <f t="array" ref="D115">_xlfn.TEXTJOIN("",TRUE,IF(ISNUMBER(SEARCH($A115,'Diags Raw Data'!$A$6:$A$3786)),CONCATENATE('Diags Raw Data'!$H$6:$H$3786,", "),""))</f>
        <v xml:space="preserve">acpaz48,acpaz248, acpaz.47.2,acpaz.247.2, acpaz47.1,acpaz247.1, </v>
      </c>
      <c r="E115" s="342" t="str">
        <f>VLOOKUP(A115,'Diags Raw Data'!$A$6:$D$3786,4,FALSE)</f>
        <v>SoundWire</v>
      </c>
      <c r="F115" s="342" t="str">
        <f>VLOOKUP(A115,'Feature Raw Data'!$A$3:$E$3986,5,FALSE)</f>
        <v>Legacy</v>
      </c>
      <c r="G115" s="342" t="str">
        <f t="shared" si="8"/>
        <v>Yes</v>
      </c>
      <c r="H115" s="342" t="str">
        <f t="shared" si="9"/>
        <v>Yes</v>
      </c>
      <c r="I115" s="450">
        <f>SUMIF('Diags Raw Data'!$A$6:$A$3786,"*"&amp;$A115&amp;"*",'Diags Raw Data'!$K$6:$K$3786)</f>
        <v>3</v>
      </c>
      <c r="J115" s="452">
        <f>SUMIF('Diags Raw Data'!$A$6:$A$3786,"*"&amp;$A115&amp;"*",'Diags Raw Data'!$L$6:$L$3786)</f>
        <v>3</v>
      </c>
      <c r="K115" s="499" cm="1">
        <f t="array" ref="K115">IF(D115="",0, SUMPRODUCT(--(ISNUMBER(SEARCH($A115,'Diags Raw Data'!$A$6:$A$3786))),'Diags Raw Data'!$L$6:$L$3786,'Diags Raw Data'!$N$6:$N$3786)/J115)</f>
        <v>1</v>
      </c>
      <c r="L115" s="500" cm="1">
        <f t="array" ref="L115">IF(D115="",0, SUMPRODUCT(--(ISNUMBER(SEARCH($A115,'Diags Raw Data'!$A$6:$A$3786))),'Diags Raw Data'!$L$6:$L$3786,'Diags Raw Data'!$P$6:$P$3786)/J115)</f>
        <v>1</v>
      </c>
      <c r="M115" s="501" cm="1">
        <f t="array" ref="M115">SUMPRODUCT(--(ISNUMBER(SEARCH($A115,'Diags Raw Data'!$A$6:$A$3786))),--('Diags Raw Data'!$Q$6:$Q$3786&lt;&gt;"N/A"),'Diags Raw Data'!$R$6:$R$3786)</f>
        <v>3</v>
      </c>
      <c r="N115" s="502" cm="1">
        <f t="array" ref="N115">SUMPRODUCT(--(ISNUMBER(SEARCH($A115,'Diags Raw Data'!$A$6:$A$3786))),--('Diags Raw Data'!$Q$6:$Q$3786&lt;&gt;"N/A"),'Diags Raw Data'!$T$6:$T$3786)+SUMPRODUCT(--(ISNUMBER(SEARCH($A115,'Diags Raw Data'!$A$6:$A$3786))),--('Diags Raw Data'!$Q$6:$Q$3786&lt;&gt;"N/A"),'Diags Raw Data'!$U$6:$U$3786)</f>
        <v>3</v>
      </c>
      <c r="O115" s="503">
        <f>IF((M115=0),0,N115/M115)</f>
        <v>1</v>
      </c>
      <c r="P115" s="504">
        <f>SUMIF('Diags Raw Data'!$A$6:$A$3786,"*"&amp;$A115&amp;"*",'Diags Raw Data'!$Z$6:$Z$3786)</f>
        <v>0</v>
      </c>
      <c r="Q115" s="505">
        <f>SUM(SUMIF('Diags Raw Data'!$A$6:$A$3786,"*"&amp;$A115&amp;"*",'Diags Raw Data'!$AA$6:$AA$3786),SUMIF('Diags Raw Data'!$A$6:$A$3786,"*"&amp;$A115&amp;"*",'Diags Raw Data'!$AB$6:$AB$3786))</f>
        <v>0</v>
      </c>
      <c r="R115" s="506">
        <f>IF((J115=0),0,P115/J115)</f>
        <v>0</v>
      </c>
      <c r="S115" s="506">
        <f>IF((P115=0),0,Q115/P115)</f>
        <v>0</v>
      </c>
      <c r="T115" s="507">
        <f>R115*S115</f>
        <v>0</v>
      </c>
      <c r="U115" s="453" t="s">
        <v>286</v>
      </c>
      <c r="V115" s="181"/>
    </row>
    <row r="116" spans="1:22" ht="30" x14ac:dyDescent="0.25">
      <c r="A116" s="448" t="s">
        <v>821</v>
      </c>
      <c r="B116" s="449" t="str">
        <f>VLOOKUP(A116,'Feature Raw Data'!$A$3:$B$3986,2,FALSE)</f>
        <v>Feature name - EX-FEAT-110</v>
      </c>
      <c r="C116" s="450" t="str">
        <f>VLOOKUP(A116,'Feature Raw Data'!$A$3:$C$3986,3,FALSE)</f>
        <v>P2</v>
      </c>
      <c r="D116" s="451" t="str" cm="1">
        <f t="array" ref="D116">_xlfn.TEXTJOIN("",TRUE,IF(ISNUMBER(SEARCH($A116,'Diags Raw Data'!$A$6:$A$3786)),CONCATENATE('Diags Raw Data'!$H$6:$H$3786,", "),""))</f>
        <v xml:space="preserve">, </v>
      </c>
      <c r="E116" s="342" t="str">
        <f>VLOOKUP(A116,'Diags Raw Data'!$A$6:$D$3786,4,FALSE)</f>
        <v>Urgency interrupts</v>
      </c>
      <c r="F116" s="342" t="str">
        <f>VLOOKUP(A116,'Feature Raw Data'!$A$3:$E$3986,5,FALSE)</f>
        <v>Legacy</v>
      </c>
      <c r="G116" s="342" t="str">
        <f t="shared" si="8"/>
        <v>Yes</v>
      </c>
      <c r="H116" s="342" t="str">
        <f t="shared" si="9"/>
        <v>Yes</v>
      </c>
      <c r="I116" s="450">
        <f>SUMIF('Diags Raw Data'!$A$6:$A$3786,"*"&amp;$A116&amp;"*",'Diags Raw Data'!$K$6:$K$3786)</f>
        <v>1</v>
      </c>
      <c r="J116" s="452">
        <f>SUMIF('Diags Raw Data'!$A$6:$A$3786,"*"&amp;$A116&amp;"*",'Diags Raw Data'!$L$6:$L$3786)</f>
        <v>1</v>
      </c>
      <c r="K116" s="499" cm="1">
        <f t="array" ref="K116">IF(D116="",0, SUMPRODUCT(--(ISNUMBER(SEARCH($A116,'Diags Raw Data'!$A$6:$A$3786))),'Diags Raw Data'!$L$6:$L$3786,'Diags Raw Data'!$N$6:$N$3786)/J116)</f>
        <v>1</v>
      </c>
      <c r="L116" s="500" cm="1">
        <f t="array" ref="L116">IF(D116="",0, SUMPRODUCT(--(ISNUMBER(SEARCH($A116,'Diags Raw Data'!$A$6:$A$3786))),'Diags Raw Data'!$L$6:$L$3786,'Diags Raw Data'!$P$6:$P$3786)/J116)</f>
        <v>1</v>
      </c>
      <c r="M116" s="501" cm="1">
        <f t="array" ref="M116">SUMPRODUCT(--(ISNUMBER(SEARCH($A116,'Diags Raw Data'!$A$6:$A$3786))),--('Diags Raw Data'!$Q$6:$Q$3786&lt;&gt;"N/A"),'Diags Raw Data'!$R$6:$R$3786)</f>
        <v>1</v>
      </c>
      <c r="N116" s="502" cm="1">
        <f t="array" ref="N116">SUMPRODUCT(--(ISNUMBER(SEARCH($A116,'Diags Raw Data'!$A$6:$A$3786))),--('Diags Raw Data'!$Q$6:$Q$3786&lt;&gt;"N/A"),'Diags Raw Data'!$T$6:$T$3786)+SUMPRODUCT(--(ISNUMBER(SEARCH($A116,'Diags Raw Data'!$A$6:$A$3786))),--('Diags Raw Data'!$Q$6:$Q$3786&lt;&gt;"N/A"),'Diags Raw Data'!$U$6:$U$3786)</f>
        <v>1</v>
      </c>
      <c r="O116" s="503">
        <f>IF((M116=0),0,N116/M116)</f>
        <v>1</v>
      </c>
      <c r="P116" s="504">
        <f>SUMIF('Diags Raw Data'!$A$6:$A$3786,"*"&amp;$A116&amp;"*",'Diags Raw Data'!$Z$6:$Z$3786)</f>
        <v>0</v>
      </c>
      <c r="Q116" s="505">
        <f>SUM(SUMIF('Diags Raw Data'!$A$6:$A$3786,"*"&amp;$A116&amp;"*",'Diags Raw Data'!$AA$6:$AA$3786),SUMIF('Diags Raw Data'!$A$6:$A$3786,"*"&amp;$A116&amp;"*",'Diags Raw Data'!$AB$6:$AB$3786))</f>
        <v>0</v>
      </c>
      <c r="R116" s="506">
        <f>IF((J116=0),0,P116/J116)</f>
        <v>0</v>
      </c>
      <c r="S116" s="506">
        <f>IF((P116=0),0,Q116/P116)</f>
        <v>0</v>
      </c>
      <c r="T116" s="507">
        <f>R116*S116</f>
        <v>0</v>
      </c>
      <c r="U116" s="453" t="s">
        <v>277</v>
      </c>
      <c r="V116" s="181"/>
    </row>
    <row r="117" spans="1:22" x14ac:dyDescent="0.25">
      <c r="A117" s="448" t="s">
        <v>824</v>
      </c>
      <c r="B117" s="449" t="str">
        <f>VLOOKUP(A117,'Feature Raw Data'!$A$3:$B$3986,2,FALSE)</f>
        <v>Feature name - EX-FEAT-111</v>
      </c>
      <c r="C117" s="450" t="str">
        <f>VLOOKUP(A117,'Feature Raw Data'!$A$3:$C$3986,3,FALSE)</f>
        <v>P2</v>
      </c>
      <c r="D117" s="451" t="str" cm="1">
        <f t="array" ref="D117">_xlfn.TEXTJOIN("",TRUE,IF(ISNUMBER(SEARCH($A117,'Diags Raw Data'!$A$6:$A$3786)),CONCATENATE('Diags Raw Data'!$H$6:$H$3786,", "),""))</f>
        <v xml:space="preserve">acpaz299, </v>
      </c>
      <c r="E117" s="342" t="str">
        <f>VLOOKUP(A117,'Diags Raw Data'!$A$6:$D$3786,4,FALSE)</f>
        <v>Fusion Test</v>
      </c>
      <c r="F117" s="342" t="str">
        <f>VLOOKUP(A117,'Feature Raw Data'!$A$3:$E$3986,5,FALSE)</f>
        <v>Legacy</v>
      </c>
      <c r="G117" s="342" t="str">
        <f t="shared" si="8"/>
        <v>Yes</v>
      </c>
      <c r="H117" s="342" t="str">
        <f t="shared" si="9"/>
        <v>Yes</v>
      </c>
      <c r="I117" s="450">
        <f>SUMIF('Diags Raw Data'!$A$6:$A$3786,"*"&amp;$A117&amp;"*",'Diags Raw Data'!$K$6:$K$3786)</f>
        <v>1</v>
      </c>
      <c r="J117" s="452">
        <f>SUMIF('Diags Raw Data'!$A$6:$A$3786,"*"&amp;$A117&amp;"*",'Diags Raw Data'!$L$6:$L$3786)</f>
        <v>1</v>
      </c>
      <c r="K117" s="499" cm="1">
        <f t="array" ref="K117">IF(D117="",0, SUMPRODUCT(--(ISNUMBER(SEARCH($A117,'Diags Raw Data'!$A$6:$A$3786))),'Diags Raw Data'!$L$6:$L$3786,'Diags Raw Data'!$N$6:$N$3786)/J117)</f>
        <v>1</v>
      </c>
      <c r="L117" s="500" cm="1">
        <f t="array" ref="L117">IF(D117="",0, SUMPRODUCT(--(ISNUMBER(SEARCH($A117,'Diags Raw Data'!$A$6:$A$3786))),'Diags Raw Data'!$L$6:$L$3786,'Diags Raw Data'!$P$6:$P$3786)/J117)</f>
        <v>1</v>
      </c>
      <c r="M117" s="501" cm="1">
        <f t="array" ref="M117">SUMPRODUCT(--(ISNUMBER(SEARCH($A117,'Diags Raw Data'!$A$6:$A$3786))),--('Diags Raw Data'!$Q$6:$Q$3786&lt;&gt;"N/A"),'Diags Raw Data'!$R$6:$R$3786)</f>
        <v>1</v>
      </c>
      <c r="N117" s="502" cm="1">
        <f t="array" ref="N117">SUMPRODUCT(--(ISNUMBER(SEARCH($A117,'Diags Raw Data'!$A$6:$A$3786))),--('Diags Raw Data'!$Q$6:$Q$3786&lt;&gt;"N/A"),'Diags Raw Data'!$T$6:$T$3786)+SUMPRODUCT(--(ISNUMBER(SEARCH($A117,'Diags Raw Data'!$A$6:$A$3786))),--('Diags Raw Data'!$Q$6:$Q$3786&lt;&gt;"N/A"),'Diags Raw Data'!$U$6:$U$3786)</f>
        <v>1</v>
      </c>
      <c r="O117" s="503">
        <f t="shared" si="13"/>
        <v>1</v>
      </c>
      <c r="P117" s="504">
        <f>SUMIF('Diags Raw Data'!$A$6:$A$3786,"*"&amp;$A117&amp;"*",'Diags Raw Data'!$Z$6:$Z$3786)</f>
        <v>0</v>
      </c>
      <c r="Q117" s="505">
        <f>SUM(SUMIF('Diags Raw Data'!$A$6:$A$3786,"*"&amp;$A117&amp;"*",'Diags Raw Data'!$AA$6:$AA$3786),SUMIF('Diags Raw Data'!$A$6:$A$3786,"*"&amp;$A117&amp;"*",'Diags Raw Data'!$AB$6:$AB$3786))</f>
        <v>0</v>
      </c>
      <c r="R117" s="506">
        <f t="shared" si="10"/>
        <v>0</v>
      </c>
      <c r="S117" s="506">
        <f t="shared" si="11"/>
        <v>0</v>
      </c>
      <c r="T117" s="507">
        <f t="shared" si="12"/>
        <v>0</v>
      </c>
      <c r="U117" s="453" t="s">
        <v>1113</v>
      </c>
      <c r="V117" s="181"/>
    </row>
    <row r="118" spans="1:22" x14ac:dyDescent="0.25">
      <c r="A118" s="448" t="s">
        <v>830</v>
      </c>
      <c r="B118" s="449" t="str">
        <f>VLOOKUP(A118,'Feature Raw Data'!$A$3:$B$3986,2,FALSE)</f>
        <v>Feature name - EX-FEAT-112</v>
      </c>
      <c r="C118" s="450" t="str">
        <f>VLOOKUP(A118,'Feature Raw Data'!$A$3:$C$3986,3,FALSE)</f>
        <v>P2</v>
      </c>
      <c r="D118" s="451" t="str" cm="1">
        <f t="array" ref="D118">_xlfn.TEXTJOIN("",TRUE,IF(ISNUMBER(SEARCH($A118,'Diags Raw Data'!$A$6:$A$3786)),CONCATENATE('Diags Raw Data'!$H$6:$H$3786,", "),""))</f>
        <v xml:space="preserve">acpaz201, </v>
      </c>
      <c r="E118" s="342" t="str">
        <f>VLOOKUP(A118,'Diags Raw Data'!$A$6:$D$3786,4,FALSE)</f>
        <v>Fusion Test</v>
      </c>
      <c r="F118" s="342" t="str">
        <f>VLOOKUP(A118,'Feature Raw Data'!$A$3:$E$3986,5,FALSE)</f>
        <v>Legacy</v>
      </c>
      <c r="G118" s="342" t="str">
        <f t="shared" si="8"/>
        <v>Yes</v>
      </c>
      <c r="H118" s="342" t="str">
        <f t="shared" si="9"/>
        <v>Yes</v>
      </c>
      <c r="I118" s="450">
        <f>SUMIF('Diags Raw Data'!$A$6:$A$3786,"*"&amp;$A118&amp;"*",'Diags Raw Data'!$K$6:$K$3786)</f>
        <v>1</v>
      </c>
      <c r="J118" s="452">
        <f>SUMIF('Diags Raw Data'!$A$6:$A$3786,"*"&amp;$A118&amp;"*",'Diags Raw Data'!$L$6:$L$3786)</f>
        <v>10</v>
      </c>
      <c r="K118" s="499" cm="1">
        <f t="array" ref="K118">IF(D118="",0, SUMPRODUCT(--(ISNUMBER(SEARCH($A118,'Diags Raw Data'!$A$6:$A$3786))),'Diags Raw Data'!$L$6:$L$3786,'Diags Raw Data'!$N$6:$N$3786)/J118)</f>
        <v>1</v>
      </c>
      <c r="L118" s="500" cm="1">
        <f t="array" ref="L118">IF(D118="",0, SUMPRODUCT(--(ISNUMBER(SEARCH($A118,'Diags Raw Data'!$A$6:$A$3786))),'Diags Raw Data'!$L$6:$L$3786,'Diags Raw Data'!$P$6:$P$3786)/J118)</f>
        <v>1</v>
      </c>
      <c r="M118" s="501" cm="1">
        <f t="array" ref="M118">SUMPRODUCT(--(ISNUMBER(SEARCH($A118,'Diags Raw Data'!$A$6:$A$3786))),--('Diags Raw Data'!$Q$6:$Q$3786&lt;&gt;"N/A"),'Diags Raw Data'!$R$6:$R$3786)</f>
        <v>10</v>
      </c>
      <c r="N118" s="502" cm="1">
        <f t="array" ref="N118">SUMPRODUCT(--(ISNUMBER(SEARCH($A118,'Diags Raw Data'!$A$6:$A$3786))),--('Diags Raw Data'!$Q$6:$Q$3786&lt;&gt;"N/A"),'Diags Raw Data'!$T$6:$T$3786)+SUMPRODUCT(--(ISNUMBER(SEARCH($A118,'Diags Raw Data'!$A$6:$A$3786))),--('Diags Raw Data'!$Q$6:$Q$3786&lt;&gt;"N/A"),'Diags Raw Data'!$U$6:$U$3786)</f>
        <v>10</v>
      </c>
      <c r="O118" s="503">
        <f t="shared" si="13"/>
        <v>1</v>
      </c>
      <c r="P118" s="504">
        <f>SUMIF('Diags Raw Data'!$A$6:$A$3786,"*"&amp;$A118&amp;"*",'Diags Raw Data'!$Z$6:$Z$3786)</f>
        <v>0</v>
      </c>
      <c r="Q118" s="505">
        <f>SUM(SUMIF('Diags Raw Data'!$A$6:$A$3786,"*"&amp;$A118&amp;"*",'Diags Raw Data'!$AA$6:$AA$3786),SUMIF('Diags Raw Data'!$A$6:$A$3786,"*"&amp;$A118&amp;"*",'Diags Raw Data'!$AB$6:$AB$3786))</f>
        <v>0</v>
      </c>
      <c r="R118" s="506">
        <f t="shared" si="10"/>
        <v>0</v>
      </c>
      <c r="S118" s="506">
        <f>IF((P118=0),0,Q118/P118)</f>
        <v>0</v>
      </c>
      <c r="T118" s="507">
        <f>R118*S118</f>
        <v>0</v>
      </c>
      <c r="U118" s="453" t="s">
        <v>1113</v>
      </c>
      <c r="V118" s="181"/>
    </row>
    <row r="119" spans="1:22" x14ac:dyDescent="0.25">
      <c r="A119" s="448" t="s">
        <v>837</v>
      </c>
      <c r="B119" s="449" t="str">
        <f>VLOOKUP(A119,'Feature Raw Data'!$A$3:$B$3986,2,FALSE)</f>
        <v>Feature name - EX-FEAT-113</v>
      </c>
      <c r="C119" s="450" t="str">
        <f>VLOOKUP(A119,'Feature Raw Data'!$A$3:$C$3986,3,FALSE)</f>
        <v>P2</v>
      </c>
      <c r="D119" s="451" t="str" cm="1">
        <f t="array" ref="D119">_xlfn.TEXTJOIN("",TRUE,IF(ISNUMBER(SEARCH($A119,'Diags Raw Data'!$A$6:$A$3786)),CONCATENATE('Diags Raw Data'!$H$6:$H$3786,", "),""))</f>
        <v xml:space="preserve">acpaz218.1-3, </v>
      </c>
      <c r="E119" s="342" t="str">
        <f>VLOOKUP(A119,'Diags Raw Data'!$A$6:$D$3786,4,FALSE)</f>
        <v>Fusion Test</v>
      </c>
      <c r="F119" s="342" t="str">
        <f>VLOOKUP(A119,'Feature Raw Data'!$A$3:$E$3986,5,FALSE)</f>
        <v>Legacy</v>
      </c>
      <c r="G119" s="342" t="str">
        <f t="shared" si="8"/>
        <v>Yes</v>
      </c>
      <c r="H119" s="342" t="str">
        <f t="shared" si="9"/>
        <v>Yes</v>
      </c>
      <c r="I119" s="450">
        <f>SUMIF('Diags Raw Data'!$A$6:$A$3786,"*"&amp;$A119&amp;"*",'Diags Raw Data'!$K$6:$K$3786)</f>
        <v>1</v>
      </c>
      <c r="J119" s="452">
        <f>SUMIF('Diags Raw Data'!$A$6:$A$3786,"*"&amp;$A119&amp;"*",'Diags Raw Data'!$L$6:$L$3786)</f>
        <v>3</v>
      </c>
      <c r="K119" s="499" cm="1">
        <f t="array" ref="K119">IF(D119="",0, SUMPRODUCT(--(ISNUMBER(SEARCH($A119,'Diags Raw Data'!$A$6:$A$3786))),'Diags Raw Data'!$L$6:$L$3786,'Diags Raw Data'!$N$6:$N$3786)/J119)</f>
        <v>1</v>
      </c>
      <c r="L119" s="500" cm="1">
        <f t="array" ref="L119">IF(D119="",0, SUMPRODUCT(--(ISNUMBER(SEARCH($A119,'Diags Raw Data'!$A$6:$A$3786))),'Diags Raw Data'!$L$6:$L$3786,'Diags Raw Data'!$P$6:$P$3786)/J119)</f>
        <v>1</v>
      </c>
      <c r="M119" s="501" cm="1">
        <f t="array" ref="M119">SUMPRODUCT(--(ISNUMBER(SEARCH($A119,'Diags Raw Data'!$A$6:$A$3786))),--('Diags Raw Data'!$Q$6:$Q$3786&lt;&gt;"N/A"),'Diags Raw Data'!$R$6:$R$3786)</f>
        <v>3</v>
      </c>
      <c r="N119" s="502" cm="1">
        <f t="array" ref="N119">SUMPRODUCT(--(ISNUMBER(SEARCH($A119,'Diags Raw Data'!$A$6:$A$3786))),--('Diags Raw Data'!$Q$6:$Q$3786&lt;&gt;"N/A"),'Diags Raw Data'!$T$6:$T$3786)+SUMPRODUCT(--(ISNUMBER(SEARCH($A119,'Diags Raw Data'!$A$6:$A$3786))),--('Diags Raw Data'!$Q$6:$Q$3786&lt;&gt;"N/A"),'Diags Raw Data'!$U$6:$U$3786)</f>
        <v>3</v>
      </c>
      <c r="O119" s="503">
        <f>IF((M119=0),0,N119/M119)</f>
        <v>1</v>
      </c>
      <c r="P119" s="504">
        <f>SUMIF('Diags Raw Data'!$A$6:$A$3786,"*"&amp;$A119&amp;"*",'Diags Raw Data'!$Z$6:$Z$3786)</f>
        <v>0</v>
      </c>
      <c r="Q119" s="505">
        <f>SUM(SUMIF('Diags Raw Data'!$A$6:$A$3786,"*"&amp;$A119&amp;"*",'Diags Raw Data'!$AA$6:$AA$3786),SUMIF('Diags Raw Data'!$A$6:$A$3786,"*"&amp;$A119&amp;"*",'Diags Raw Data'!$AB$6:$AB$3786))</f>
        <v>0</v>
      </c>
      <c r="R119" s="506">
        <f>IF((J119=0),0,P119/J119)</f>
        <v>0</v>
      </c>
      <c r="S119" s="506">
        <f t="shared" si="11"/>
        <v>0</v>
      </c>
      <c r="T119" s="507">
        <f t="shared" si="12"/>
        <v>0</v>
      </c>
      <c r="U119" s="453" t="s">
        <v>277</v>
      </c>
      <c r="V119" s="181"/>
    </row>
    <row r="120" spans="1:22" x14ac:dyDescent="0.25">
      <c r="A120" s="448" t="s">
        <v>842</v>
      </c>
      <c r="B120" s="449" t="str">
        <f>VLOOKUP(A120,'Feature Raw Data'!$A$3:$B$3986,2,FALSE)</f>
        <v>Feature name - EX-FEAT-114</v>
      </c>
      <c r="C120" s="450" t="str">
        <f>VLOOKUP(A120,'Feature Raw Data'!$A$3:$C$3986,3,FALSE)</f>
        <v>P2</v>
      </c>
      <c r="D120" s="451" t="str" cm="1">
        <f t="array" ref="D120">_xlfn.TEXTJOIN("",TRUE,IF(ISNUMBER(SEARCH($A120,'Diags Raw Data'!$A$6:$A$3786)),CONCATENATE('Diags Raw Data'!$H$6:$H$3786,", "),""))</f>
        <v xml:space="preserve">acpaz219.1-3, </v>
      </c>
      <c r="E120" s="342" t="str">
        <f>VLOOKUP(A120,'Diags Raw Data'!$A$6:$D$3786,4,FALSE)</f>
        <v>Fusion Test</v>
      </c>
      <c r="F120" s="342" t="str">
        <f>VLOOKUP(A120,'Feature Raw Data'!$A$3:$E$3986,5,FALSE)</f>
        <v>Legacy</v>
      </c>
      <c r="G120" s="342" t="str">
        <f t="shared" si="8"/>
        <v>Yes</v>
      </c>
      <c r="H120" s="342" t="str">
        <f t="shared" si="9"/>
        <v>Yes</v>
      </c>
      <c r="I120" s="450">
        <f>SUMIF('Diags Raw Data'!$A$6:$A$3786,"*"&amp;$A120&amp;"*",'Diags Raw Data'!$K$6:$K$3786)</f>
        <v>1</v>
      </c>
      <c r="J120" s="452">
        <f>SUMIF('Diags Raw Data'!$A$6:$A$3786,"*"&amp;$A120&amp;"*",'Diags Raw Data'!$L$6:$L$3786)</f>
        <v>3</v>
      </c>
      <c r="K120" s="499" cm="1">
        <f t="array" ref="K120">IF(D120="",0, SUMPRODUCT(--(ISNUMBER(SEARCH($A120,'Diags Raw Data'!$A$6:$A$3786))),'Diags Raw Data'!$L$6:$L$3786,'Diags Raw Data'!$N$6:$N$3786)/J120)</f>
        <v>1</v>
      </c>
      <c r="L120" s="500" cm="1">
        <f t="array" ref="L120">IF(D120="",0, SUMPRODUCT(--(ISNUMBER(SEARCH($A120,'Diags Raw Data'!$A$6:$A$3786))),'Diags Raw Data'!$L$6:$L$3786,'Diags Raw Data'!$P$6:$P$3786)/J120)</f>
        <v>1</v>
      </c>
      <c r="M120" s="501" cm="1">
        <f t="array" ref="M120">SUMPRODUCT(--(ISNUMBER(SEARCH($A120,'Diags Raw Data'!$A$6:$A$3786))),--('Diags Raw Data'!$Q$6:$Q$3786&lt;&gt;"N/A"),'Diags Raw Data'!$R$6:$R$3786)</f>
        <v>3</v>
      </c>
      <c r="N120" s="502" cm="1">
        <f t="array" ref="N120">SUMPRODUCT(--(ISNUMBER(SEARCH($A120,'Diags Raw Data'!$A$6:$A$3786))),--('Diags Raw Data'!$Q$6:$Q$3786&lt;&gt;"N/A"),'Diags Raw Data'!$T$6:$T$3786)+SUMPRODUCT(--(ISNUMBER(SEARCH($A120,'Diags Raw Data'!$A$6:$A$3786))),--('Diags Raw Data'!$Q$6:$Q$3786&lt;&gt;"N/A"),'Diags Raw Data'!$U$6:$U$3786)</f>
        <v>3</v>
      </c>
      <c r="O120" s="503">
        <f>IF((M120=0),0,N120/M120)</f>
        <v>1</v>
      </c>
      <c r="P120" s="504">
        <f>SUMIF('Diags Raw Data'!$A$6:$A$3786,"*"&amp;$A120&amp;"*",'Diags Raw Data'!$Z$6:$Z$3786)</f>
        <v>0</v>
      </c>
      <c r="Q120" s="505">
        <f>SUM(SUMIF('Diags Raw Data'!$A$6:$A$3786,"*"&amp;$A120&amp;"*",'Diags Raw Data'!$AA$6:$AA$3786),SUMIF('Diags Raw Data'!$A$6:$A$3786,"*"&amp;$A120&amp;"*",'Diags Raw Data'!$AB$6:$AB$3786))</f>
        <v>0</v>
      </c>
      <c r="R120" s="506">
        <f t="shared" si="10"/>
        <v>0</v>
      </c>
      <c r="S120" s="506">
        <f t="shared" si="11"/>
        <v>0</v>
      </c>
      <c r="T120" s="507">
        <f t="shared" si="12"/>
        <v>0</v>
      </c>
      <c r="U120" s="453" t="s">
        <v>286</v>
      </c>
      <c r="V120" s="181"/>
    </row>
    <row r="121" spans="1:22" x14ac:dyDescent="0.25">
      <c r="A121" s="448" t="s">
        <v>848</v>
      </c>
      <c r="B121" s="449" t="str">
        <f>VLOOKUP(A121,'Feature Raw Data'!$A$3:$B$3986,2,FALSE)</f>
        <v>Feature name - EX-FEAT-115</v>
      </c>
      <c r="C121" s="450" t="str">
        <f>VLOOKUP(A121,'Feature Raw Data'!$A$3:$C$3986,3,FALSE)</f>
        <v>P2</v>
      </c>
      <c r="D121" s="451" t="str" cm="1">
        <f t="array" ref="D121">_xlfn.TEXTJOIN("",TRUE,IF(ISNUMBER(SEARCH($A121,'Diags Raw Data'!$A$6:$A$3786)),CONCATENATE('Diags Raw Data'!$H$6:$H$3786,", "),""))</f>
        <v xml:space="preserve">acpaz220.1-7, </v>
      </c>
      <c r="E121" s="342" t="str">
        <f>VLOOKUP(A121,'Diags Raw Data'!$A$6:$D$3786,4,FALSE)</f>
        <v>Fusion Test</v>
      </c>
      <c r="F121" s="342" t="str">
        <f>VLOOKUP(A121,'Feature Raw Data'!$A$3:$E$3986,5,FALSE)</f>
        <v>Legacy</v>
      </c>
      <c r="G121" s="342" t="str">
        <f t="shared" si="8"/>
        <v>Yes</v>
      </c>
      <c r="H121" s="342" t="str">
        <f t="shared" si="9"/>
        <v>Yes</v>
      </c>
      <c r="I121" s="450">
        <f>SUMIF('Diags Raw Data'!$A$6:$A$3786,"*"&amp;$A121&amp;"*",'Diags Raw Data'!$K$6:$K$3786)</f>
        <v>1</v>
      </c>
      <c r="J121" s="452">
        <f>SUMIF('Diags Raw Data'!$A$6:$A$3786,"*"&amp;$A121&amp;"*",'Diags Raw Data'!$L$6:$L$3786)</f>
        <v>3</v>
      </c>
      <c r="K121" s="499" cm="1">
        <f t="array" ref="K121">IF(D121="",0, SUMPRODUCT(--(ISNUMBER(SEARCH($A121,'Diags Raw Data'!$A$6:$A$3786))),'Diags Raw Data'!$L$6:$L$3786,'Diags Raw Data'!$N$6:$N$3786)/J121)</f>
        <v>1</v>
      </c>
      <c r="L121" s="500" cm="1">
        <f t="array" ref="L121">IF(D121="",0, SUMPRODUCT(--(ISNUMBER(SEARCH($A121,'Diags Raw Data'!$A$6:$A$3786))),'Diags Raw Data'!$L$6:$L$3786,'Diags Raw Data'!$P$6:$P$3786)/J121)</f>
        <v>1</v>
      </c>
      <c r="M121" s="501" cm="1">
        <f t="array" ref="M121">SUMPRODUCT(--(ISNUMBER(SEARCH($A121,'Diags Raw Data'!$A$6:$A$3786))),--('Diags Raw Data'!$Q$6:$Q$3786&lt;&gt;"N/A"),'Diags Raw Data'!$R$6:$R$3786)</f>
        <v>3</v>
      </c>
      <c r="N121" s="502" cm="1">
        <f t="array" ref="N121">SUMPRODUCT(--(ISNUMBER(SEARCH($A121,'Diags Raw Data'!$A$6:$A$3786))),--('Diags Raw Data'!$Q$6:$Q$3786&lt;&gt;"N/A"),'Diags Raw Data'!$T$6:$T$3786)+SUMPRODUCT(--(ISNUMBER(SEARCH($A121,'Diags Raw Data'!$A$6:$A$3786))),--('Diags Raw Data'!$Q$6:$Q$3786&lt;&gt;"N/A"),'Diags Raw Data'!$U$6:$U$3786)</f>
        <v>3</v>
      </c>
      <c r="O121" s="503">
        <f>IF((M121=0),0,N121/M121)</f>
        <v>1</v>
      </c>
      <c r="P121" s="504">
        <f>SUMIF('Diags Raw Data'!$A$6:$A$3786,"*"&amp;$A121&amp;"*",'Diags Raw Data'!$Z$6:$Z$3786)</f>
        <v>0</v>
      </c>
      <c r="Q121" s="505">
        <f>SUM(SUMIF('Diags Raw Data'!$A$6:$A$3786,"*"&amp;$A121&amp;"*",'Diags Raw Data'!$AA$6:$AA$3786),SUMIF('Diags Raw Data'!$A$6:$A$3786,"*"&amp;$A121&amp;"*",'Diags Raw Data'!$AB$6:$AB$3786))</f>
        <v>0</v>
      </c>
      <c r="R121" s="506">
        <f t="shared" si="10"/>
        <v>0</v>
      </c>
      <c r="S121" s="506">
        <f t="shared" si="11"/>
        <v>0</v>
      </c>
      <c r="T121" s="507">
        <f t="shared" si="12"/>
        <v>0</v>
      </c>
      <c r="U121" s="453" t="s">
        <v>277</v>
      </c>
      <c r="V121" s="181"/>
    </row>
    <row r="122" spans="1:22" x14ac:dyDescent="0.25">
      <c r="A122" s="448" t="s">
        <v>852</v>
      </c>
      <c r="B122" s="449" t="str">
        <f>VLOOKUP(A122,'Feature Raw Data'!$A$3:$B$3986,2,FALSE)</f>
        <v>Feature name - EX-FEAT-116</v>
      </c>
      <c r="C122" s="450" t="str">
        <f>VLOOKUP(A122,'Feature Raw Data'!$A$3:$C$3986,3,FALSE)</f>
        <v>P2</v>
      </c>
      <c r="D122" s="451" t="str" cm="1">
        <f t="array" ref="D122">_xlfn.TEXTJOIN("",TRUE,IF(ISNUMBER(SEARCH($A122,'Diags Raw Data'!$A$6:$A$3786)),CONCATENATE('Diags Raw Data'!$H$6:$H$3786,", "),""))</f>
        <v xml:space="preserve">acpaz221.1-7, </v>
      </c>
      <c r="E122" s="342" t="str">
        <f>VLOOKUP(A122,'Diags Raw Data'!$A$6:$D$3786,4,FALSE)</f>
        <v>Fusion Test</v>
      </c>
      <c r="F122" s="342" t="str">
        <f>VLOOKUP(A122,'Feature Raw Data'!$A$3:$E$3986,5,FALSE)</f>
        <v>Legacy</v>
      </c>
      <c r="G122" s="342" t="str">
        <f t="shared" ref="G122:G131" si="36">IF(D122="","No","Yes")</f>
        <v>Yes</v>
      </c>
      <c r="H122" s="342" t="str">
        <f t="shared" ref="H122:H131" si="37">IF(D122="","No","Yes")</f>
        <v>Yes</v>
      </c>
      <c r="I122" s="450">
        <f>SUMIF('Diags Raw Data'!$A$6:$A$3786,"*"&amp;$A122&amp;"*",'Diags Raw Data'!$K$6:$K$3786)</f>
        <v>1</v>
      </c>
      <c r="J122" s="452">
        <f>SUMIF('Diags Raw Data'!$A$6:$A$3786,"*"&amp;$A122&amp;"*",'Diags Raw Data'!$L$6:$L$3786)</f>
        <v>7</v>
      </c>
      <c r="K122" s="499" cm="1">
        <f t="array" ref="K122">IF(D122="",0, SUMPRODUCT(--(ISNUMBER(SEARCH($A122,'Diags Raw Data'!$A$6:$A$3786))),'Diags Raw Data'!$L$6:$L$3786,'Diags Raw Data'!$N$6:$N$3786)/J122)</f>
        <v>1</v>
      </c>
      <c r="L122" s="500" cm="1">
        <f t="array" ref="L122">IF(D122="",0, SUMPRODUCT(--(ISNUMBER(SEARCH($A122,'Diags Raw Data'!$A$6:$A$3786))),'Diags Raw Data'!$L$6:$L$3786,'Diags Raw Data'!$P$6:$P$3786)/J122)</f>
        <v>1</v>
      </c>
      <c r="M122" s="501" cm="1">
        <f t="array" ref="M122">SUMPRODUCT(--(ISNUMBER(SEARCH($A122,'Diags Raw Data'!$A$6:$A$3786))),--('Diags Raw Data'!$Q$6:$Q$3786&lt;&gt;"N/A"),'Diags Raw Data'!$R$6:$R$3786)</f>
        <v>7</v>
      </c>
      <c r="N122" s="502" cm="1">
        <f t="array" ref="N122">SUMPRODUCT(--(ISNUMBER(SEARCH($A122,'Diags Raw Data'!$A$6:$A$3786))),--('Diags Raw Data'!$Q$6:$Q$3786&lt;&gt;"N/A"),'Diags Raw Data'!$T$6:$T$3786)+SUMPRODUCT(--(ISNUMBER(SEARCH($A122,'Diags Raw Data'!$A$6:$A$3786))),--('Diags Raw Data'!$Q$6:$Q$3786&lt;&gt;"N/A"),'Diags Raw Data'!$U$6:$U$3786)</f>
        <v>7</v>
      </c>
      <c r="O122" s="503">
        <f>IF((M122=0),0,N122/M122)</f>
        <v>1</v>
      </c>
      <c r="P122" s="504">
        <f>SUMIF('Diags Raw Data'!$A$6:$A$3786,"*"&amp;$A122&amp;"*",'Diags Raw Data'!$Z$6:$Z$3786)</f>
        <v>0</v>
      </c>
      <c r="Q122" s="505">
        <f>SUM(SUMIF('Diags Raw Data'!$A$6:$A$3786,"*"&amp;$A122&amp;"*",'Diags Raw Data'!$AA$6:$AA$3786),SUMIF('Diags Raw Data'!$A$6:$A$3786,"*"&amp;$A122&amp;"*",'Diags Raw Data'!$AB$6:$AB$3786))</f>
        <v>0</v>
      </c>
      <c r="R122" s="506">
        <f>IF((J122=0),0,P122/J122)</f>
        <v>0</v>
      </c>
      <c r="S122" s="506">
        <f>IF((P122=0),0,Q122/P122)</f>
        <v>0</v>
      </c>
      <c r="T122" s="507">
        <f>R122*S122</f>
        <v>0</v>
      </c>
      <c r="U122" s="453" t="s">
        <v>277</v>
      </c>
      <c r="V122" s="181"/>
    </row>
    <row r="123" spans="1:22" x14ac:dyDescent="0.25">
      <c r="A123" s="448" t="s">
        <v>857</v>
      </c>
      <c r="B123" s="449" t="str">
        <f>VLOOKUP(A123,'Feature Raw Data'!$A$3:$B$3986,2,FALSE)</f>
        <v>Feature name - EX-FEAT-117</v>
      </c>
      <c r="C123" s="450" t="str">
        <f>VLOOKUP(A123,'Feature Raw Data'!$A$3:$C$3986,3,FALSE)</f>
        <v>P2</v>
      </c>
      <c r="D123" s="451" t="str" cm="1">
        <f t="array" ref="D123">_xlfn.TEXTJOIN("",TRUE,IF(ISNUMBER(SEARCH($A123,'Diags Raw Data'!$A$6:$A$3786)),CONCATENATE('Diags Raw Data'!$H$6:$H$3786,", "),""))</f>
        <v xml:space="preserve">acpaz222.1-5, </v>
      </c>
      <c r="E123" s="342" t="str">
        <f>VLOOKUP(A123,'Diags Raw Data'!$A$6:$D$3786,4,FALSE)</f>
        <v>Fusion Test</v>
      </c>
      <c r="F123" s="342" t="str">
        <f>VLOOKUP(A123,'Feature Raw Data'!$A$3:$E$3986,5,FALSE)</f>
        <v>Legacy</v>
      </c>
      <c r="G123" s="342" t="str">
        <f t="shared" si="36"/>
        <v>Yes</v>
      </c>
      <c r="H123" s="342" t="str">
        <f t="shared" si="37"/>
        <v>Yes</v>
      </c>
      <c r="I123" s="450">
        <f>SUMIF('Diags Raw Data'!$A$6:$A$3786,"*"&amp;$A123&amp;"*",'Diags Raw Data'!$K$6:$K$3786)</f>
        <v>1</v>
      </c>
      <c r="J123" s="452">
        <f>SUMIF('Diags Raw Data'!$A$6:$A$3786,"*"&amp;$A123&amp;"*",'Diags Raw Data'!$L$6:$L$3786)</f>
        <v>5</v>
      </c>
      <c r="K123" s="499" cm="1">
        <f t="array" ref="K123">IF(D123="",0, SUMPRODUCT(--(ISNUMBER(SEARCH($A123,'Diags Raw Data'!$A$6:$A$3786))),'Diags Raw Data'!$L$6:$L$3786,'Diags Raw Data'!$N$6:$N$3786)/J123)</f>
        <v>1</v>
      </c>
      <c r="L123" s="500" cm="1">
        <f t="array" ref="L123">IF(D123="",0, SUMPRODUCT(--(ISNUMBER(SEARCH($A123,'Diags Raw Data'!$A$6:$A$3786))),'Diags Raw Data'!$L$6:$L$3786,'Diags Raw Data'!$P$6:$P$3786)/J123)</f>
        <v>1</v>
      </c>
      <c r="M123" s="501" cm="1">
        <f t="array" ref="M123">SUMPRODUCT(--(ISNUMBER(SEARCH($A123,'Diags Raw Data'!$A$6:$A$3786))),--('Diags Raw Data'!$Q$6:$Q$3786&lt;&gt;"N/A"),'Diags Raw Data'!$R$6:$R$3786)</f>
        <v>5</v>
      </c>
      <c r="N123" s="502" cm="1">
        <f t="array" ref="N123">SUMPRODUCT(--(ISNUMBER(SEARCH($A123,'Diags Raw Data'!$A$6:$A$3786))),--('Diags Raw Data'!$Q$6:$Q$3786&lt;&gt;"N/A"),'Diags Raw Data'!$T$6:$T$3786)+SUMPRODUCT(--(ISNUMBER(SEARCH($A123,'Diags Raw Data'!$A$6:$A$3786))),--('Diags Raw Data'!$Q$6:$Q$3786&lt;&gt;"N/A"),'Diags Raw Data'!$U$6:$U$3786)</f>
        <v>5</v>
      </c>
      <c r="O123" s="503">
        <f t="shared" ref="O123:O125" si="38">IF((M123=0),0,N123/M123)</f>
        <v>1</v>
      </c>
      <c r="P123" s="504">
        <f>SUMIF('Diags Raw Data'!$A$6:$A$3786,"*"&amp;$A123&amp;"*",'Diags Raw Data'!$Z$6:$Z$3786)</f>
        <v>0</v>
      </c>
      <c r="Q123" s="505">
        <f>SUM(SUMIF('Diags Raw Data'!$A$6:$A$3786,"*"&amp;$A123&amp;"*",'Diags Raw Data'!$AA$6:$AA$3786),SUMIF('Diags Raw Data'!$A$6:$A$3786,"*"&amp;$A123&amp;"*",'Diags Raw Data'!$AB$6:$AB$3786))</f>
        <v>0</v>
      </c>
      <c r="R123" s="506">
        <f t="shared" ref="R123:R125" si="39">IF((J123=0),0,P123/J123)</f>
        <v>0</v>
      </c>
      <c r="S123" s="506">
        <f t="shared" ref="S123:S128" si="40">IF((P123=0),0,Q123/P123)</f>
        <v>0</v>
      </c>
      <c r="T123" s="507">
        <f t="shared" ref="T123:T127" si="41">R123*S123</f>
        <v>0</v>
      </c>
      <c r="U123" s="453" t="s">
        <v>286</v>
      </c>
      <c r="V123" s="181"/>
    </row>
    <row r="124" spans="1:22" x14ac:dyDescent="0.25">
      <c r="A124" s="448" t="s">
        <v>862</v>
      </c>
      <c r="B124" s="449" t="str">
        <f>VLOOKUP(A124,'Feature Raw Data'!$A$3:$B$3986,2,FALSE)</f>
        <v>Feature name - EX-FEAT-118</v>
      </c>
      <c r="C124" s="450" t="str">
        <f>VLOOKUP(A124,'Feature Raw Data'!$A$3:$C$3986,3,FALSE)</f>
        <v>P2</v>
      </c>
      <c r="D124" s="451" t="str" cm="1">
        <f t="array" ref="D124">_xlfn.TEXTJOIN("",TRUE,IF(ISNUMBER(SEARCH($A124,'Diags Raw Data'!$A$6:$A$3786)),CONCATENATE('Diags Raw Data'!$H$6:$H$3786,", "),""))</f>
        <v xml:space="preserve">acpaz224.1-6, </v>
      </c>
      <c r="E124" s="342" t="str">
        <f>VLOOKUP(A124,'Diags Raw Data'!$A$6:$D$3786,4,FALSE)</f>
        <v>Fusion Test</v>
      </c>
      <c r="F124" s="342" t="str">
        <f>VLOOKUP(A124,'Feature Raw Data'!$A$3:$E$3986,5,FALSE)</f>
        <v>Legacy</v>
      </c>
      <c r="G124" s="342" t="str">
        <f t="shared" si="36"/>
        <v>Yes</v>
      </c>
      <c r="H124" s="342" t="str">
        <f t="shared" si="37"/>
        <v>Yes</v>
      </c>
      <c r="I124" s="450">
        <f>SUMIF('Diags Raw Data'!$A$6:$A$3786,"*"&amp;$A124&amp;"*",'Diags Raw Data'!$K$6:$K$3786)</f>
        <v>1</v>
      </c>
      <c r="J124" s="452">
        <f>SUMIF('Diags Raw Data'!$A$6:$A$3786,"*"&amp;$A124&amp;"*",'Diags Raw Data'!$L$6:$L$3786)</f>
        <v>6</v>
      </c>
      <c r="K124" s="499" cm="1">
        <f t="array" ref="K124">IF(D124="",0, SUMPRODUCT(--(ISNUMBER(SEARCH($A124,'Diags Raw Data'!$A$6:$A$3786))),'Diags Raw Data'!$L$6:$L$3786,'Diags Raw Data'!$N$6:$N$3786)/J124)</f>
        <v>1</v>
      </c>
      <c r="L124" s="500" cm="1">
        <f t="array" ref="L124">IF(D124="",0, SUMPRODUCT(--(ISNUMBER(SEARCH($A124,'Diags Raw Data'!$A$6:$A$3786))),'Diags Raw Data'!$L$6:$L$3786,'Diags Raw Data'!$P$6:$P$3786)/J124)</f>
        <v>1</v>
      </c>
      <c r="M124" s="501" cm="1">
        <f t="array" ref="M124">SUMPRODUCT(--(ISNUMBER(SEARCH($A124,'Diags Raw Data'!$A$6:$A$3786))),--('Diags Raw Data'!$Q$6:$Q$3786&lt;&gt;"N/A"),'Diags Raw Data'!$R$6:$R$3786)</f>
        <v>6</v>
      </c>
      <c r="N124" s="502" cm="1">
        <f t="array" ref="N124">SUMPRODUCT(--(ISNUMBER(SEARCH($A124,'Diags Raw Data'!$A$6:$A$3786))),--('Diags Raw Data'!$Q$6:$Q$3786&lt;&gt;"N/A"),'Diags Raw Data'!$T$6:$T$3786)+SUMPRODUCT(--(ISNUMBER(SEARCH($A124,'Diags Raw Data'!$A$6:$A$3786))),--('Diags Raw Data'!$Q$6:$Q$3786&lt;&gt;"N/A"),'Diags Raw Data'!$U$6:$U$3786)</f>
        <v>6</v>
      </c>
      <c r="O124" s="503">
        <f t="shared" si="38"/>
        <v>1</v>
      </c>
      <c r="P124" s="504">
        <f>SUMIF('Diags Raw Data'!$A$6:$A$3786,"*"&amp;$A124&amp;"*",'Diags Raw Data'!$Z$6:$Z$3786)</f>
        <v>0</v>
      </c>
      <c r="Q124" s="505">
        <f>SUM(SUMIF('Diags Raw Data'!$A$6:$A$3786,"*"&amp;$A124&amp;"*",'Diags Raw Data'!$AA$6:$AA$3786),SUMIF('Diags Raw Data'!$A$6:$A$3786,"*"&amp;$A124&amp;"*",'Diags Raw Data'!$AB$6:$AB$3786))</f>
        <v>0</v>
      </c>
      <c r="R124" s="506">
        <f t="shared" si="39"/>
        <v>0</v>
      </c>
      <c r="S124" s="506">
        <f t="shared" si="40"/>
        <v>0</v>
      </c>
      <c r="T124" s="507">
        <f t="shared" si="41"/>
        <v>0</v>
      </c>
      <c r="U124" s="453" t="s">
        <v>286</v>
      </c>
      <c r="V124" s="181"/>
    </row>
    <row r="125" spans="1:22" x14ac:dyDescent="0.25">
      <c r="A125" s="448" t="s">
        <v>867</v>
      </c>
      <c r="B125" s="449" t="str">
        <f>VLOOKUP(A125,'Feature Raw Data'!$A$3:$B$3986,2,FALSE)</f>
        <v>Feature name - EX-FEAT-119</v>
      </c>
      <c r="C125" s="450" t="str">
        <f>VLOOKUP(A125,'Feature Raw Data'!$A$3:$C$3986,3,FALSE)</f>
        <v>P2</v>
      </c>
      <c r="D125" s="451" t="str" cm="1">
        <f t="array" ref="D125">_xlfn.TEXTJOIN("",TRUE,IF(ISNUMBER(SEARCH($A125,'Diags Raw Data'!$A$6:$A$3786)),CONCATENATE('Diags Raw Data'!$H$6:$H$3786,", "),""))</f>
        <v xml:space="preserve">acpaz225.1-14, </v>
      </c>
      <c r="E125" s="342" t="str">
        <f>VLOOKUP(A125,'Diags Raw Data'!$A$6:$D$3786,4,FALSE)</f>
        <v>Fusion Test</v>
      </c>
      <c r="F125" s="342" t="str">
        <f>VLOOKUP(A125,'Feature Raw Data'!$A$3:$E$3986,5,FALSE)</f>
        <v>Legacy</v>
      </c>
      <c r="G125" s="342" t="str">
        <f t="shared" si="36"/>
        <v>Yes</v>
      </c>
      <c r="H125" s="342" t="str">
        <f t="shared" si="37"/>
        <v>Yes</v>
      </c>
      <c r="I125" s="450">
        <f>SUMIF('Diags Raw Data'!$A$6:$A$3786,"*"&amp;$A125&amp;"*",'Diags Raw Data'!$K$6:$K$3786)</f>
        <v>1</v>
      </c>
      <c r="J125" s="452">
        <f>SUMIF('Diags Raw Data'!$A$6:$A$3786,"*"&amp;$A125&amp;"*",'Diags Raw Data'!$L$6:$L$3786)</f>
        <v>14</v>
      </c>
      <c r="K125" s="499" cm="1">
        <f t="array" ref="K125">IF(D125="",0, SUMPRODUCT(--(ISNUMBER(SEARCH($A125,'Diags Raw Data'!$A$6:$A$3786))),'Diags Raw Data'!$L$6:$L$3786,'Diags Raw Data'!$N$6:$N$3786)/J125)</f>
        <v>1</v>
      </c>
      <c r="L125" s="500" cm="1">
        <f t="array" ref="L125">IF(D125="",0, SUMPRODUCT(--(ISNUMBER(SEARCH($A125,'Diags Raw Data'!$A$6:$A$3786))),'Diags Raw Data'!$L$6:$L$3786,'Diags Raw Data'!$P$6:$P$3786)/J125)</f>
        <v>1</v>
      </c>
      <c r="M125" s="501" cm="1">
        <f t="array" ref="M125">SUMPRODUCT(--(ISNUMBER(SEARCH($A125,'Diags Raw Data'!$A$6:$A$3786))),--('Diags Raw Data'!$Q$6:$Q$3786&lt;&gt;"N/A"),'Diags Raw Data'!$R$6:$R$3786)</f>
        <v>14</v>
      </c>
      <c r="N125" s="502" cm="1">
        <f t="array" ref="N125">SUMPRODUCT(--(ISNUMBER(SEARCH($A125,'Diags Raw Data'!$A$6:$A$3786))),--('Diags Raw Data'!$Q$6:$Q$3786&lt;&gt;"N/A"),'Diags Raw Data'!$T$6:$T$3786)+SUMPRODUCT(--(ISNUMBER(SEARCH($A125,'Diags Raw Data'!$A$6:$A$3786))),--('Diags Raw Data'!$Q$6:$Q$3786&lt;&gt;"N/A"),'Diags Raw Data'!$U$6:$U$3786)</f>
        <v>14</v>
      </c>
      <c r="O125" s="503">
        <f t="shared" si="38"/>
        <v>1</v>
      </c>
      <c r="P125" s="504">
        <f>SUMIF('Diags Raw Data'!$A$6:$A$3786,"*"&amp;$A125&amp;"*",'Diags Raw Data'!$Z$6:$Z$3786)</f>
        <v>0</v>
      </c>
      <c r="Q125" s="505">
        <f>SUM(SUMIF('Diags Raw Data'!$A$6:$A$3786,"*"&amp;$A125&amp;"*",'Diags Raw Data'!$AA$6:$AA$3786),SUMIF('Diags Raw Data'!$A$6:$A$3786,"*"&amp;$A125&amp;"*",'Diags Raw Data'!$AB$6:$AB$3786))</f>
        <v>0</v>
      </c>
      <c r="R125" s="506">
        <f t="shared" si="39"/>
        <v>0</v>
      </c>
      <c r="S125" s="506">
        <f t="shared" si="40"/>
        <v>0</v>
      </c>
      <c r="T125" s="507">
        <f t="shared" si="41"/>
        <v>0</v>
      </c>
      <c r="U125" s="453" t="s">
        <v>286</v>
      </c>
      <c r="V125" s="181"/>
    </row>
    <row r="126" spans="1:22" x14ac:dyDescent="0.25">
      <c r="A126" s="448" t="s">
        <v>871</v>
      </c>
      <c r="B126" s="449" t="str">
        <f>VLOOKUP(A126,'Feature Raw Data'!$A$3:$B$3986,2,FALSE)</f>
        <v>Feature name - EX-FEAT-120</v>
      </c>
      <c r="C126" s="450" t="str">
        <f>VLOOKUP(A126,'Feature Raw Data'!$A$3:$C$3986,3,FALSE)</f>
        <v>P2</v>
      </c>
      <c r="D126" s="451" t="str" cm="1">
        <f t="array" ref="D126">_xlfn.TEXTJOIN("",TRUE,IF(ISNUMBER(SEARCH($A126,'Diags Raw Data'!$A$6:$A$3786)),CONCATENATE('Diags Raw Data'!$H$6:$H$3786,", "),""))</f>
        <v xml:space="preserve">acpaz226, </v>
      </c>
      <c r="E126" s="342" t="str">
        <f>VLOOKUP(A126,'Diags Raw Data'!$A$6:$D$3786,4,FALSE)</f>
        <v>Fusion Test</v>
      </c>
      <c r="F126" s="342" t="str">
        <f>VLOOKUP(A126,'Feature Raw Data'!$A$3:$E$3986,5,FALSE)</f>
        <v>Legacy</v>
      </c>
      <c r="G126" s="342" t="str">
        <f t="shared" si="36"/>
        <v>Yes</v>
      </c>
      <c r="H126" s="342" t="str">
        <f t="shared" si="37"/>
        <v>Yes</v>
      </c>
      <c r="I126" s="450">
        <f>SUMIF('Diags Raw Data'!$A$6:$A$3786,"*"&amp;$A126&amp;"*",'Diags Raw Data'!$K$6:$K$3786)</f>
        <v>1</v>
      </c>
      <c r="J126" s="452">
        <f>SUMIF('Diags Raw Data'!$A$6:$A$3786,"*"&amp;$A126&amp;"*",'Diags Raw Data'!$L$6:$L$3786)</f>
        <v>1</v>
      </c>
      <c r="K126" s="499" cm="1">
        <f t="array" ref="K126">IF(D126="",0, SUMPRODUCT(--(ISNUMBER(SEARCH($A126,'Diags Raw Data'!$A$6:$A$3786))),'Diags Raw Data'!$L$6:$L$3786,'Diags Raw Data'!$N$6:$N$3786)/J126)</f>
        <v>1</v>
      </c>
      <c r="L126" s="500" cm="1">
        <f t="array" ref="L126">IF(D126="",0, SUMPRODUCT(--(ISNUMBER(SEARCH($A126,'Diags Raw Data'!$A$6:$A$3786))),'Diags Raw Data'!$L$6:$L$3786,'Diags Raw Data'!$P$6:$P$3786)/J126)</f>
        <v>1</v>
      </c>
      <c r="M126" s="501" cm="1">
        <f t="array" ref="M126">SUMPRODUCT(--(ISNUMBER(SEARCH($A126,'Diags Raw Data'!$A$6:$A$3786))),--('Diags Raw Data'!$Q$6:$Q$3786&lt;&gt;"N/A"),'Diags Raw Data'!$R$6:$R$3786)</f>
        <v>1</v>
      </c>
      <c r="N126" s="502" cm="1">
        <f t="array" ref="N126">SUMPRODUCT(--(ISNUMBER(SEARCH($A126,'Diags Raw Data'!$A$6:$A$3786))),--('Diags Raw Data'!$Q$6:$Q$3786&lt;&gt;"N/A"),'Diags Raw Data'!$T$6:$T$3786)+SUMPRODUCT(--(ISNUMBER(SEARCH($A126,'Diags Raw Data'!$A$6:$A$3786))),--('Diags Raw Data'!$Q$6:$Q$3786&lt;&gt;"N/A"),'Diags Raw Data'!$U$6:$U$3786)</f>
        <v>1</v>
      </c>
      <c r="O126" s="503">
        <f>IF((M126=0),0,N126/M126)</f>
        <v>1</v>
      </c>
      <c r="P126" s="504">
        <f>SUMIF('Diags Raw Data'!$A$6:$A$3786,"*"&amp;$A126&amp;"*",'Diags Raw Data'!$Z$6:$Z$3786)</f>
        <v>0</v>
      </c>
      <c r="Q126" s="505">
        <f>SUM(SUMIF('Diags Raw Data'!$A$6:$A$3786,"*"&amp;$A126&amp;"*",'Diags Raw Data'!$AA$6:$AA$3786),SUMIF('Diags Raw Data'!$A$6:$A$3786,"*"&amp;$A126&amp;"*",'Diags Raw Data'!$AB$6:$AB$3786))</f>
        <v>0</v>
      </c>
      <c r="R126" s="506">
        <f>IF((J126=0),0,P126/J126)</f>
        <v>0</v>
      </c>
      <c r="S126" s="506">
        <f t="shared" si="40"/>
        <v>0</v>
      </c>
      <c r="T126" s="507">
        <f t="shared" si="41"/>
        <v>0</v>
      </c>
      <c r="U126" s="453" t="s">
        <v>1113</v>
      </c>
      <c r="V126" s="181"/>
    </row>
    <row r="127" spans="1:22" x14ac:dyDescent="0.25">
      <c r="A127" s="448" t="s">
        <v>875</v>
      </c>
      <c r="B127" s="449" t="str">
        <f>VLOOKUP(A127,'Feature Raw Data'!$A$3:$B$3986,2,FALSE)</f>
        <v>Feature name - EX-FEAT-121</v>
      </c>
      <c r="C127" s="450" t="str">
        <f>VLOOKUP(A127,'Feature Raw Data'!$A$3:$C$3986,3,FALSE)</f>
        <v>P2</v>
      </c>
      <c r="D127" s="451" t="str" cm="1">
        <f t="array" ref="D127">_xlfn.TEXTJOIN("",TRUE,IF(ISNUMBER(SEARCH($A127,'Diags Raw Data'!$A$6:$A$3786)),CONCATENATE('Diags Raw Data'!$H$6:$H$3786,", "),""))</f>
        <v xml:space="preserve">acpaz227.1, </v>
      </c>
      <c r="E127" s="342" t="str">
        <f>VLOOKUP(A127,'Diags Raw Data'!$A$6:$D$3786,4,FALSE)</f>
        <v>Fusion Test</v>
      </c>
      <c r="F127" s="342" t="str">
        <f>VLOOKUP(A127,'Feature Raw Data'!$A$3:$E$3986,5,FALSE)</f>
        <v>Legacy</v>
      </c>
      <c r="G127" s="342" t="str">
        <f t="shared" si="36"/>
        <v>Yes</v>
      </c>
      <c r="H127" s="342" t="str">
        <f t="shared" si="37"/>
        <v>Yes</v>
      </c>
      <c r="I127" s="450">
        <f>SUMIF('Diags Raw Data'!$A$6:$A$3786,"*"&amp;$A127&amp;"*",'Diags Raw Data'!$K$6:$K$3786)</f>
        <v>1</v>
      </c>
      <c r="J127" s="452">
        <f>SUMIF('Diags Raw Data'!$A$6:$A$3786,"*"&amp;$A127&amp;"*",'Diags Raw Data'!$L$6:$L$3786)</f>
        <v>1</v>
      </c>
      <c r="K127" s="499" cm="1">
        <f t="array" ref="K127">IF(D127="",0, SUMPRODUCT(--(ISNUMBER(SEARCH($A127,'Diags Raw Data'!$A$6:$A$3786))),'Diags Raw Data'!$L$6:$L$3786,'Diags Raw Data'!$N$6:$N$3786)/J127)</f>
        <v>1</v>
      </c>
      <c r="L127" s="500" cm="1">
        <f t="array" ref="L127">IF(D127="",0, SUMPRODUCT(--(ISNUMBER(SEARCH($A127,'Diags Raw Data'!$A$6:$A$3786))),'Diags Raw Data'!$L$6:$L$3786,'Diags Raw Data'!$P$6:$P$3786)/J127)</f>
        <v>1</v>
      </c>
      <c r="M127" s="501" cm="1">
        <f t="array" ref="M127">SUMPRODUCT(--(ISNUMBER(SEARCH($A127,'Diags Raw Data'!$A$6:$A$3786))),--('Diags Raw Data'!$Q$6:$Q$3786&lt;&gt;"N/A"),'Diags Raw Data'!$R$6:$R$3786)</f>
        <v>1</v>
      </c>
      <c r="N127" s="502" cm="1">
        <f t="array" ref="N127">SUMPRODUCT(--(ISNUMBER(SEARCH($A127,'Diags Raw Data'!$A$6:$A$3786))),--('Diags Raw Data'!$Q$6:$Q$3786&lt;&gt;"N/A"),'Diags Raw Data'!$T$6:$T$3786)+SUMPRODUCT(--(ISNUMBER(SEARCH($A127,'Diags Raw Data'!$A$6:$A$3786))),--('Diags Raw Data'!$Q$6:$Q$3786&lt;&gt;"N/A"),'Diags Raw Data'!$U$6:$U$3786)</f>
        <v>1</v>
      </c>
      <c r="O127" s="503">
        <f t="shared" ref="O127:O128" si="42">IF((M127=0),0,N127/M127)</f>
        <v>1</v>
      </c>
      <c r="P127" s="504">
        <f>SUMIF('Diags Raw Data'!$A$6:$A$3786,"*"&amp;$A127&amp;"*",'Diags Raw Data'!$Z$6:$Z$3786)</f>
        <v>0</v>
      </c>
      <c r="Q127" s="505">
        <f>SUM(SUMIF('Diags Raw Data'!$A$6:$A$3786,"*"&amp;$A127&amp;"*",'Diags Raw Data'!$AA$6:$AA$3786),SUMIF('Diags Raw Data'!$A$6:$A$3786,"*"&amp;$A127&amp;"*",'Diags Raw Data'!$AB$6:$AB$3786))</f>
        <v>0</v>
      </c>
      <c r="R127" s="506">
        <f>IF((J127=0),0,P127/J127)</f>
        <v>0</v>
      </c>
      <c r="S127" s="506">
        <f t="shared" si="40"/>
        <v>0</v>
      </c>
      <c r="T127" s="507">
        <f t="shared" si="41"/>
        <v>0</v>
      </c>
      <c r="U127" s="453" t="s">
        <v>1113</v>
      </c>
      <c r="V127" s="181"/>
    </row>
    <row r="128" spans="1:22" x14ac:dyDescent="0.25">
      <c r="A128" s="448" t="s">
        <v>878</v>
      </c>
      <c r="B128" s="449" t="str">
        <f>VLOOKUP(A128,'Feature Raw Data'!$A$3:$B$3986,2,FALSE)</f>
        <v>Feature name - EX-FEAT-122</v>
      </c>
      <c r="C128" s="450" t="str">
        <f>VLOOKUP(A128,'Feature Raw Data'!$A$3:$C$3986,3,FALSE)</f>
        <v>P2</v>
      </c>
      <c r="D128" s="451" t="str" cm="1">
        <f t="array" ref="D128">_xlfn.TEXTJOIN("",TRUE,IF(ISNUMBER(SEARCH($A128,'Diags Raw Data'!$A$6:$A$3786)),CONCATENATE('Diags Raw Data'!$H$6:$H$3786,", "),""))</f>
        <v xml:space="preserve">acpaz229.1-3, </v>
      </c>
      <c r="E128" s="342" t="str">
        <f>VLOOKUP(A128,'Diags Raw Data'!$A$6:$D$3786,4,FALSE)</f>
        <v>Fusion Test</v>
      </c>
      <c r="F128" s="342" t="str">
        <f>VLOOKUP(A128,'Feature Raw Data'!$A$3:$E$3986,5,FALSE)</f>
        <v>Legacy</v>
      </c>
      <c r="G128" s="342" t="str">
        <f t="shared" si="36"/>
        <v>Yes</v>
      </c>
      <c r="H128" s="342" t="str">
        <f t="shared" si="37"/>
        <v>Yes</v>
      </c>
      <c r="I128" s="450">
        <f>SUMIF('Diags Raw Data'!$A$6:$A$3786,"*"&amp;$A128&amp;"*",'Diags Raw Data'!$K$6:$K$3786)</f>
        <v>1</v>
      </c>
      <c r="J128" s="452">
        <f>SUMIF('Diags Raw Data'!$A$6:$A$3786,"*"&amp;$A128&amp;"*",'Diags Raw Data'!$L$6:$L$3786)</f>
        <v>3</v>
      </c>
      <c r="K128" s="499" cm="1">
        <f t="array" ref="K128">IF(D128="",0, SUMPRODUCT(--(ISNUMBER(SEARCH($A128,'Diags Raw Data'!$A$6:$A$3786))),'Diags Raw Data'!$L$6:$L$3786,'Diags Raw Data'!$N$6:$N$3786)/J128)</f>
        <v>1</v>
      </c>
      <c r="L128" s="500" cm="1">
        <f t="array" ref="L128">IF(D128="",0, SUMPRODUCT(--(ISNUMBER(SEARCH($A128,'Diags Raw Data'!$A$6:$A$3786))),'Diags Raw Data'!$L$6:$L$3786,'Diags Raw Data'!$P$6:$P$3786)/J128)</f>
        <v>1</v>
      </c>
      <c r="M128" s="501" cm="1">
        <f t="array" ref="M128">SUMPRODUCT(--(ISNUMBER(SEARCH($A128,'Diags Raw Data'!$A$6:$A$3786))),--('Diags Raw Data'!$Q$6:$Q$3786&lt;&gt;"N/A"),'Diags Raw Data'!$R$6:$R$3786)</f>
        <v>3</v>
      </c>
      <c r="N128" s="502" cm="1">
        <f t="array" ref="N128">SUMPRODUCT(--(ISNUMBER(SEARCH($A128,'Diags Raw Data'!$A$6:$A$3786))),--('Diags Raw Data'!$Q$6:$Q$3786&lt;&gt;"N/A"),'Diags Raw Data'!$T$6:$T$3786)+SUMPRODUCT(--(ISNUMBER(SEARCH($A128,'Diags Raw Data'!$A$6:$A$3786))),--('Diags Raw Data'!$Q$6:$Q$3786&lt;&gt;"N/A"),'Diags Raw Data'!$U$6:$U$3786)</f>
        <v>3</v>
      </c>
      <c r="O128" s="503">
        <f t="shared" si="42"/>
        <v>1</v>
      </c>
      <c r="P128" s="504">
        <f>SUMIF('Diags Raw Data'!$A$6:$A$3786,"*"&amp;$A128&amp;"*",'Diags Raw Data'!$Z$6:$Z$3786)</f>
        <v>0</v>
      </c>
      <c r="Q128" s="505">
        <f>SUM(SUMIF('Diags Raw Data'!$A$6:$A$3786,"*"&amp;$A128&amp;"*",'Diags Raw Data'!$AA$6:$AA$3786),SUMIF('Diags Raw Data'!$A$6:$A$3786,"*"&amp;$A128&amp;"*",'Diags Raw Data'!$AB$6:$AB$3786))</f>
        <v>0</v>
      </c>
      <c r="R128" s="506">
        <f>IF((J128=0),0,P128/J128)</f>
        <v>0</v>
      </c>
      <c r="S128" s="506">
        <f t="shared" si="40"/>
        <v>0</v>
      </c>
      <c r="T128" s="507">
        <f>R128*S128</f>
        <v>0</v>
      </c>
      <c r="U128" s="453" t="s">
        <v>1113</v>
      </c>
      <c r="V128" s="181"/>
    </row>
    <row r="129" spans="1:22" x14ac:dyDescent="0.25">
      <c r="A129" s="448" t="s">
        <v>881</v>
      </c>
      <c r="B129" s="449" t="str">
        <f>VLOOKUP(A129,'Feature Raw Data'!$A$3:$B$3986,2,FALSE)</f>
        <v>Feature name - EX-FEAT-123</v>
      </c>
      <c r="C129" s="450" t="str">
        <f>VLOOKUP(A129,'Feature Raw Data'!$A$3:$C$3986,3,FALSE)</f>
        <v>P2</v>
      </c>
      <c r="D129" s="451" t="str" cm="1">
        <f t="array" ref="D129">_xlfn.TEXTJOIN("",TRUE,IF(ISNUMBER(SEARCH($A129,'Diags Raw Data'!$A$6:$A$3786)),CONCATENATE('Diags Raw Data'!$H$6:$H$3786,", "),""))</f>
        <v xml:space="preserve">acpaz230.1-5, </v>
      </c>
      <c r="E129" s="342" t="str">
        <f>VLOOKUP(A129,'Diags Raw Data'!$A$6:$D$3786,4,FALSE)</f>
        <v>Fusion Test</v>
      </c>
      <c r="F129" s="342" t="str">
        <f>VLOOKUP(A129,'Feature Raw Data'!$A$3:$E$3986,5,FALSE)</f>
        <v>Legacy</v>
      </c>
      <c r="G129" s="342" t="str">
        <f t="shared" si="36"/>
        <v>Yes</v>
      </c>
      <c r="H129" s="342" t="str">
        <f t="shared" si="37"/>
        <v>Yes</v>
      </c>
      <c r="I129" s="450">
        <f>SUMIF('Diags Raw Data'!$A$6:$A$3786,"*"&amp;$A129&amp;"*",'Diags Raw Data'!$K$6:$K$3786)</f>
        <v>1</v>
      </c>
      <c r="J129" s="452">
        <f>SUMIF('Diags Raw Data'!$A$6:$A$3786,"*"&amp;$A129&amp;"*",'Diags Raw Data'!$L$6:$L$3786)</f>
        <v>5</v>
      </c>
      <c r="K129" s="499" cm="1">
        <f t="array" ref="K129">IF(D129="",0, SUMPRODUCT(--(ISNUMBER(SEARCH($A129,'Diags Raw Data'!$A$6:$A$3786))),'Diags Raw Data'!$L$6:$L$3786,'Diags Raw Data'!$N$6:$N$3786)/J129)</f>
        <v>1</v>
      </c>
      <c r="L129" s="500" cm="1">
        <f t="array" ref="L129">IF(D129="",0, SUMPRODUCT(--(ISNUMBER(SEARCH($A129,'Diags Raw Data'!$A$6:$A$3786))),'Diags Raw Data'!$L$6:$L$3786,'Diags Raw Data'!$P$6:$P$3786)/J129)</f>
        <v>1</v>
      </c>
      <c r="M129" s="501" cm="1">
        <f t="array" ref="M129">SUMPRODUCT(--(ISNUMBER(SEARCH($A129,'Diags Raw Data'!$A$6:$A$3786))),--('Diags Raw Data'!$Q$6:$Q$3786&lt;&gt;"N/A"),'Diags Raw Data'!$R$6:$R$3786)</f>
        <v>5</v>
      </c>
      <c r="N129" s="502" cm="1">
        <f t="array" ref="N129">SUMPRODUCT(--(ISNUMBER(SEARCH($A129,'Diags Raw Data'!$A$6:$A$3786))),--('Diags Raw Data'!$Q$6:$Q$3786&lt;&gt;"N/A"),'Diags Raw Data'!$T$6:$T$3786)+SUMPRODUCT(--(ISNUMBER(SEARCH($A129,'Diags Raw Data'!$A$6:$A$3786))),--('Diags Raw Data'!$Q$6:$Q$3786&lt;&gt;"N/A"),'Diags Raw Data'!$U$6:$U$3786)</f>
        <v>5</v>
      </c>
      <c r="O129" s="503">
        <f>IF((M129=0),0,N129/M129)</f>
        <v>1</v>
      </c>
      <c r="P129" s="504">
        <f>SUMIF('Diags Raw Data'!$A$6:$A$3786,"*"&amp;$A129&amp;"*",'Diags Raw Data'!$Z$6:$Z$3786)</f>
        <v>0</v>
      </c>
      <c r="Q129" s="505">
        <f>SUM(SUMIF('Diags Raw Data'!$A$6:$A$3786,"*"&amp;$A129&amp;"*",'Diags Raw Data'!$AA$6:$AA$3786),SUMIF('Diags Raw Data'!$A$6:$A$3786,"*"&amp;$A129&amp;"*",'Diags Raw Data'!$AB$6:$AB$3786))</f>
        <v>0</v>
      </c>
      <c r="R129" s="506">
        <f>IF((J129=0),0,P129/J129)</f>
        <v>0</v>
      </c>
      <c r="S129" s="506">
        <f>IF((P129=0),0,Q129/P129)</f>
        <v>0</v>
      </c>
      <c r="T129" s="507">
        <f>R129*S129</f>
        <v>0</v>
      </c>
      <c r="U129" s="453" t="s">
        <v>286</v>
      </c>
      <c r="V129" s="181"/>
    </row>
    <row r="130" spans="1:22" x14ac:dyDescent="0.25">
      <c r="A130" s="448" t="s">
        <v>884</v>
      </c>
      <c r="B130" s="449" t="str">
        <f>VLOOKUP(A130,'Feature Raw Data'!$A$3:$B$3986,2,FALSE)</f>
        <v>Feature name - EX-FEAT-124</v>
      </c>
      <c r="C130" s="450" t="str">
        <f>VLOOKUP(A130,'Feature Raw Data'!$A$3:$C$3986,3,FALSE)</f>
        <v>P2</v>
      </c>
      <c r="D130" s="451" t="str" cm="1">
        <f t="array" ref="D130">_xlfn.TEXTJOIN("",TRUE,IF(ISNUMBER(SEARCH($A130,'Diags Raw Data'!$A$6:$A$3786)),CONCATENATE('Diags Raw Data'!$H$6:$H$3786,", "),""))</f>
        <v xml:space="preserve">acpaz241.1-3, </v>
      </c>
      <c r="E130" s="342" t="str">
        <f>VLOOKUP(A130,'Diags Raw Data'!$A$6:$D$3786,4,FALSE)</f>
        <v>Fusion Test</v>
      </c>
      <c r="F130" s="342" t="str">
        <f>VLOOKUP(A130,'Feature Raw Data'!$A$3:$E$3986,5,FALSE)</f>
        <v>Legacy</v>
      </c>
      <c r="G130" s="342" t="str">
        <f t="shared" si="36"/>
        <v>Yes</v>
      </c>
      <c r="H130" s="342" t="str">
        <f t="shared" si="37"/>
        <v>Yes</v>
      </c>
      <c r="I130" s="450">
        <f>SUMIF('Diags Raw Data'!$A$6:$A$3786,"*"&amp;$A130&amp;"*",'Diags Raw Data'!$K$6:$K$3786)</f>
        <v>1</v>
      </c>
      <c r="J130" s="452">
        <f>SUMIF('Diags Raw Data'!$A$6:$A$3786,"*"&amp;$A130&amp;"*",'Diags Raw Data'!$L$6:$L$3786)</f>
        <v>3</v>
      </c>
      <c r="K130" s="499" cm="1">
        <f t="array" ref="K130">IF(D130="",0, SUMPRODUCT(--(ISNUMBER(SEARCH($A130,'Diags Raw Data'!$A$6:$A$3786))),'Diags Raw Data'!$L$6:$L$3786,'Diags Raw Data'!$N$6:$N$3786)/J130)</f>
        <v>1</v>
      </c>
      <c r="L130" s="500" cm="1">
        <f t="array" ref="L130">IF(D130="",0, SUMPRODUCT(--(ISNUMBER(SEARCH($A130,'Diags Raw Data'!$A$6:$A$3786))),'Diags Raw Data'!$L$6:$L$3786,'Diags Raw Data'!$P$6:$P$3786)/J130)</f>
        <v>1</v>
      </c>
      <c r="M130" s="501" cm="1">
        <f t="array" ref="M130">SUMPRODUCT(--(ISNUMBER(SEARCH($A130,'Diags Raw Data'!$A$6:$A$3786))),--('Diags Raw Data'!$Q$6:$Q$3786&lt;&gt;"N/A"),'Diags Raw Data'!$R$6:$R$3786)</f>
        <v>3</v>
      </c>
      <c r="N130" s="502" cm="1">
        <f t="array" ref="N130">SUMPRODUCT(--(ISNUMBER(SEARCH($A130,'Diags Raw Data'!$A$6:$A$3786))),--('Diags Raw Data'!$Q$6:$Q$3786&lt;&gt;"N/A"),'Diags Raw Data'!$T$6:$T$3786)+SUMPRODUCT(--(ISNUMBER(SEARCH($A130,'Diags Raw Data'!$A$6:$A$3786))),--('Diags Raw Data'!$Q$6:$Q$3786&lt;&gt;"N/A"),'Diags Raw Data'!$U$6:$U$3786)</f>
        <v>3</v>
      </c>
      <c r="O130" s="503">
        <f t="shared" ref="O130:O131" si="43">IF((M130=0),0,N130/M130)</f>
        <v>1</v>
      </c>
      <c r="P130" s="504">
        <f>SUMIF('Diags Raw Data'!$A$6:$A$3786,"*"&amp;$A130&amp;"*",'Diags Raw Data'!$Z$6:$Z$3786)</f>
        <v>0</v>
      </c>
      <c r="Q130" s="505">
        <f>SUM(SUMIF('Diags Raw Data'!$A$6:$A$3786,"*"&amp;$A130&amp;"*",'Diags Raw Data'!$AA$6:$AA$3786),SUMIF('Diags Raw Data'!$A$6:$A$3786,"*"&amp;$A130&amp;"*",'Diags Raw Data'!$AB$6:$AB$3786))</f>
        <v>0</v>
      </c>
      <c r="R130" s="506">
        <f t="shared" ref="R130:R131" si="44">IF((J130=0),0,P130/J130)</f>
        <v>0</v>
      </c>
      <c r="S130" s="506">
        <f t="shared" ref="S130:S131" si="45">IF((P130=0),0,Q130/P130)</f>
        <v>0</v>
      </c>
      <c r="T130" s="507">
        <f>R130*S130</f>
        <v>0</v>
      </c>
      <c r="U130" s="453" t="s">
        <v>286</v>
      </c>
      <c r="V130" s="181"/>
    </row>
    <row r="131" spans="1:22" x14ac:dyDescent="0.25">
      <c r="A131" s="448" t="s">
        <v>889</v>
      </c>
      <c r="B131" s="449" t="str">
        <f>VLOOKUP(A131,'Feature Raw Data'!$A$3:$B$3986,2,FALSE)</f>
        <v>Feature name - EX-FEAT-125</v>
      </c>
      <c r="C131" s="450" t="str">
        <f>VLOOKUP(A131,'Feature Raw Data'!$A$3:$C$3986,3,FALSE)</f>
        <v>P2</v>
      </c>
      <c r="D131" s="451" t="str" cm="1">
        <f t="array" ref="D131">_xlfn.TEXTJOIN("",TRUE,IF(ISNUMBER(SEARCH($A131,'Diags Raw Data'!$A$6:$A$3786)),CONCATENATE('Diags Raw Data'!$H$6:$H$3786,", "),""))</f>
        <v xml:space="preserve">acpaz242, </v>
      </c>
      <c r="E131" s="342" t="str">
        <f>VLOOKUP(A131,'Diags Raw Data'!$A$6:$D$3786,4,FALSE)</f>
        <v>Fusion Test</v>
      </c>
      <c r="F131" s="342" t="str">
        <f>VLOOKUP(A131,'Feature Raw Data'!$A$3:$E$3986,5,FALSE)</f>
        <v>Legacy</v>
      </c>
      <c r="G131" s="342" t="str">
        <f t="shared" si="36"/>
        <v>Yes</v>
      </c>
      <c r="H131" s="342" t="str">
        <f t="shared" si="37"/>
        <v>Yes</v>
      </c>
      <c r="I131" s="450">
        <f>SUMIF('Diags Raw Data'!$A$6:$A$3786,"*"&amp;$A131&amp;"*",'Diags Raw Data'!$K$6:$K$3786)</f>
        <v>1</v>
      </c>
      <c r="J131" s="452">
        <f>SUMIF('Diags Raw Data'!$A$6:$A$3786,"*"&amp;$A131&amp;"*",'Diags Raw Data'!$L$6:$L$3786)</f>
        <v>1</v>
      </c>
      <c r="K131" s="499" cm="1">
        <f t="array" ref="K131">IF(D131="",0, SUMPRODUCT(--(ISNUMBER(SEARCH($A131,'Diags Raw Data'!$A$6:$A$3786))),'Diags Raw Data'!$L$6:$L$3786,'Diags Raw Data'!$N$6:$N$3786)/J131)</f>
        <v>1</v>
      </c>
      <c r="L131" s="500" cm="1">
        <f t="array" ref="L131">IF(D131="",0, SUMPRODUCT(--(ISNUMBER(SEARCH($A131,'Diags Raw Data'!$A$6:$A$3786))),'Diags Raw Data'!$L$6:$L$3786,'Diags Raw Data'!$P$6:$P$3786)/J131)</f>
        <v>1</v>
      </c>
      <c r="M131" s="501" cm="1">
        <f t="array" ref="M131">SUMPRODUCT(--(ISNUMBER(SEARCH($A131,'Diags Raw Data'!$A$6:$A$3786))),--('Diags Raw Data'!$Q$6:$Q$3786&lt;&gt;"N/A"),'Diags Raw Data'!$R$6:$R$3786)</f>
        <v>1</v>
      </c>
      <c r="N131" s="502" cm="1">
        <f t="array" ref="N131">SUMPRODUCT(--(ISNUMBER(SEARCH($A131,'Diags Raw Data'!$A$6:$A$3786))),--('Diags Raw Data'!$Q$6:$Q$3786&lt;&gt;"N/A"),'Diags Raw Data'!$T$6:$T$3786)+SUMPRODUCT(--(ISNUMBER(SEARCH($A131,'Diags Raw Data'!$A$6:$A$3786))),--('Diags Raw Data'!$Q$6:$Q$3786&lt;&gt;"N/A"),'Diags Raw Data'!$U$6:$U$3786)</f>
        <v>1</v>
      </c>
      <c r="O131" s="503">
        <f t="shared" si="43"/>
        <v>1</v>
      </c>
      <c r="P131" s="504">
        <f>SUMIF('Diags Raw Data'!$A$6:$A$3786,"*"&amp;$A131&amp;"*",'Diags Raw Data'!$Z$6:$Z$3786)</f>
        <v>0</v>
      </c>
      <c r="Q131" s="505">
        <f>SUM(SUMIF('Diags Raw Data'!$A$6:$A$3786,"*"&amp;$A131&amp;"*",'Diags Raw Data'!$AA$6:$AA$3786),SUMIF('Diags Raw Data'!$A$6:$A$3786,"*"&amp;$A131&amp;"*",'Diags Raw Data'!$AB$6:$AB$3786))</f>
        <v>0</v>
      </c>
      <c r="R131" s="506">
        <f t="shared" si="44"/>
        <v>0</v>
      </c>
      <c r="S131" s="506">
        <f t="shared" si="45"/>
        <v>0</v>
      </c>
      <c r="T131" s="507">
        <f t="shared" ref="T131" si="46">R131*S131</f>
        <v>0</v>
      </c>
      <c r="U131" s="453" t="s">
        <v>1113</v>
      </c>
      <c r="V131" s="181"/>
    </row>
    <row r="132" spans="1:22" x14ac:dyDescent="0.25">
      <c r="A132" s="448" t="s">
        <v>891</v>
      </c>
      <c r="B132" s="449" t="str">
        <f>VLOOKUP(A132,'Feature Raw Data'!$A$3:$B$3986,2,FALSE)</f>
        <v>Feature name - EX-FEAT-126</v>
      </c>
      <c r="C132" s="450" t="str">
        <f>VLOOKUP(A132,'Feature Raw Data'!$A$3:$C$3986,3,FALSE)</f>
        <v>P2</v>
      </c>
      <c r="D132" s="451" t="str" cm="1">
        <f t="array" ref="D132">_xlfn.TEXTJOIN("",TRUE,IF(ISNUMBER(SEARCH($A132,'Diags Raw Data'!$A$6:$A$3786)),CONCATENATE('Diags Raw Data'!$H$6:$H$3786,", "),""))</f>
        <v xml:space="preserve">acpaz294.1-5, </v>
      </c>
      <c r="E132" s="342" t="str">
        <f>VLOOKUP(A132,'Diags Raw Data'!$A$6:$D$3786,4,FALSE)</f>
        <v>Fusion Test</v>
      </c>
      <c r="F132" s="342" t="str">
        <f>VLOOKUP(A132,'Feature Raw Data'!$A$3:$E$3986,5,FALSE)</f>
        <v>Legacy</v>
      </c>
      <c r="G132" s="342" t="str">
        <f t="shared" si="8"/>
        <v>Yes</v>
      </c>
      <c r="H132" s="342" t="str">
        <f t="shared" si="9"/>
        <v>Yes</v>
      </c>
      <c r="I132" s="450">
        <f>SUMIF('Diags Raw Data'!$A$6:$A$3786,"*"&amp;$A132&amp;"*",'Diags Raw Data'!$K$6:$K$3786)</f>
        <v>1</v>
      </c>
      <c r="J132" s="452">
        <f>SUMIF('Diags Raw Data'!$A$6:$A$3786,"*"&amp;$A132&amp;"*",'Diags Raw Data'!$L$6:$L$3786)</f>
        <v>5</v>
      </c>
      <c r="K132" s="499" cm="1">
        <f t="array" ref="K132">IF(D132="",0, SUMPRODUCT(--(ISNUMBER(SEARCH($A132,'Diags Raw Data'!$A$6:$A$3786))),'Diags Raw Data'!$L$6:$L$3786,'Diags Raw Data'!$N$6:$N$3786)/J132)</f>
        <v>1</v>
      </c>
      <c r="L132" s="500" cm="1">
        <f t="array" ref="L132">IF(D132="",0, SUMPRODUCT(--(ISNUMBER(SEARCH($A132,'Diags Raw Data'!$A$6:$A$3786))),'Diags Raw Data'!$L$6:$L$3786,'Diags Raw Data'!$P$6:$P$3786)/J132)</f>
        <v>1</v>
      </c>
      <c r="M132" s="501" cm="1">
        <f t="array" ref="M132">SUMPRODUCT(--(ISNUMBER(SEARCH($A132,'Diags Raw Data'!$A$6:$A$3786))),--('Diags Raw Data'!$Q$6:$Q$3786&lt;&gt;"N/A"),'Diags Raw Data'!$R$6:$R$3786)</f>
        <v>5</v>
      </c>
      <c r="N132" s="502" cm="1">
        <f t="array" ref="N132">SUMPRODUCT(--(ISNUMBER(SEARCH($A132,'Diags Raw Data'!$A$6:$A$3786))),--('Diags Raw Data'!$Q$6:$Q$3786&lt;&gt;"N/A"),'Diags Raw Data'!$T$6:$T$3786)+SUMPRODUCT(--(ISNUMBER(SEARCH($A132,'Diags Raw Data'!$A$6:$A$3786))),--('Diags Raw Data'!$Q$6:$Q$3786&lt;&gt;"N/A"),'Diags Raw Data'!$U$6:$U$3786)</f>
        <v>5</v>
      </c>
      <c r="O132" s="503">
        <f>IF((M132=0),0,N132/M132)</f>
        <v>1</v>
      </c>
      <c r="P132" s="504">
        <f>SUMIF('Diags Raw Data'!$A$6:$A$3786,"*"&amp;$A132&amp;"*",'Diags Raw Data'!$Z$6:$Z$3786)</f>
        <v>0</v>
      </c>
      <c r="Q132" s="505">
        <f>SUM(SUMIF('Diags Raw Data'!$A$6:$A$3786,"*"&amp;$A132&amp;"*",'Diags Raw Data'!$AA$6:$AA$3786),SUMIF('Diags Raw Data'!$A$6:$A$3786,"*"&amp;$A132&amp;"*",'Diags Raw Data'!$AB$6:$AB$3786))</f>
        <v>0</v>
      </c>
      <c r="R132" s="506">
        <f>IF((J132=0),0,P132/J132)</f>
        <v>0</v>
      </c>
      <c r="S132" s="506">
        <f>IF((P132=0),0,Q132/P132)</f>
        <v>0</v>
      </c>
      <c r="T132" s="507">
        <f>R132*S132</f>
        <v>0</v>
      </c>
      <c r="U132" s="453" t="s">
        <v>277</v>
      </c>
      <c r="V132" s="181"/>
    </row>
    <row r="133" spans="1:22" ht="45" x14ac:dyDescent="0.25">
      <c r="A133" s="448" t="s">
        <v>894</v>
      </c>
      <c r="B133" s="449" t="str">
        <f>VLOOKUP(A133,'Feature Raw Data'!$A$3:$B$3986,2,FALSE)</f>
        <v>Feature name - EX-FEAT-127</v>
      </c>
      <c r="C133" s="450" t="str">
        <f>VLOOKUP(A133,'Feature Raw Data'!$A$3:$C$3986,3,FALSE)</f>
        <v>P2</v>
      </c>
      <c r="D133" s="451" t="str" cm="1">
        <f t="array" ref="D133">_xlfn.TEXTJOIN("",TRUE,IF(ISNUMBER(SEARCH($A133,'Diags Raw Data'!$A$6:$A$3786)),CONCATENATE('Diags Raw Data'!$H$6:$H$3786,", "),""))</f>
        <v xml:space="preserve">acpaz303, </v>
      </c>
      <c r="E133" s="342" t="str">
        <f>VLOOKUP(A133,'Diags Raw Data'!$A$6:$D$3786,4,FALSE)</f>
        <v>Fusion DSP Accessing register Test</v>
      </c>
      <c r="F133" s="342" t="str">
        <f>VLOOKUP(A133,'Feature Raw Data'!$A$3:$E$3986,5,FALSE)</f>
        <v>Legacy</v>
      </c>
      <c r="G133" s="342" t="str">
        <f t="shared" si="8"/>
        <v>Yes</v>
      </c>
      <c r="H133" s="342" t="str">
        <f t="shared" si="9"/>
        <v>Yes</v>
      </c>
      <c r="I133" s="450">
        <f>SUMIF('Diags Raw Data'!$A$6:$A$3786,"*"&amp;$A133&amp;"*",'Diags Raw Data'!$K$6:$K$3786)</f>
        <v>1</v>
      </c>
      <c r="J133" s="452">
        <f>SUMIF('Diags Raw Data'!$A$6:$A$3786,"*"&amp;$A133&amp;"*",'Diags Raw Data'!$L$6:$L$3786)</f>
        <v>15</v>
      </c>
      <c r="K133" s="499" cm="1">
        <f t="array" ref="K133">IF(D133="",0, SUMPRODUCT(--(ISNUMBER(SEARCH($A133,'Diags Raw Data'!$A$6:$A$3786))),'Diags Raw Data'!$L$6:$L$3786,'Diags Raw Data'!$N$6:$N$3786)/J133)</f>
        <v>1</v>
      </c>
      <c r="L133" s="500" cm="1">
        <f t="array" ref="L133">IF(D133="",0, SUMPRODUCT(--(ISNUMBER(SEARCH($A133,'Diags Raw Data'!$A$6:$A$3786))),'Diags Raw Data'!$L$6:$L$3786,'Diags Raw Data'!$P$6:$P$3786)/J133)</f>
        <v>1</v>
      </c>
      <c r="M133" s="501" cm="1">
        <f t="array" ref="M133">SUMPRODUCT(--(ISNUMBER(SEARCH($A133,'Diags Raw Data'!$A$6:$A$3786))),--('Diags Raw Data'!$Q$6:$Q$3786&lt;&gt;"N/A"),'Diags Raw Data'!$R$6:$R$3786)</f>
        <v>15</v>
      </c>
      <c r="N133" s="502" cm="1">
        <f t="array" ref="N133">SUMPRODUCT(--(ISNUMBER(SEARCH($A133,'Diags Raw Data'!$A$6:$A$3786))),--('Diags Raw Data'!$Q$6:$Q$3786&lt;&gt;"N/A"),'Diags Raw Data'!$T$6:$T$3786)+SUMPRODUCT(--(ISNUMBER(SEARCH($A133,'Diags Raw Data'!$A$6:$A$3786))),--('Diags Raw Data'!$Q$6:$Q$3786&lt;&gt;"N/A"),'Diags Raw Data'!$U$6:$U$3786)</f>
        <v>15</v>
      </c>
      <c r="O133" s="503">
        <f t="shared" si="13"/>
        <v>1</v>
      </c>
      <c r="P133" s="504">
        <f>SUMIF('Diags Raw Data'!$A$6:$A$3786,"*"&amp;$A133&amp;"*",'Diags Raw Data'!$Z$6:$Z$3786)</f>
        <v>0</v>
      </c>
      <c r="Q133" s="505">
        <f>SUM(SUMIF('Diags Raw Data'!$A$6:$A$3786,"*"&amp;$A133&amp;"*",'Diags Raw Data'!$AA$6:$AA$3786),SUMIF('Diags Raw Data'!$A$6:$A$3786,"*"&amp;$A133&amp;"*",'Diags Raw Data'!$AB$6:$AB$3786))</f>
        <v>0</v>
      </c>
      <c r="R133" s="506">
        <f t="shared" si="10"/>
        <v>0</v>
      </c>
      <c r="S133" s="506">
        <f t="shared" si="11"/>
        <v>0</v>
      </c>
      <c r="T133" s="507">
        <f t="shared" si="12"/>
        <v>0</v>
      </c>
      <c r="U133" s="453" t="s">
        <v>286</v>
      </c>
      <c r="V133" s="181"/>
    </row>
    <row r="134" spans="1:22" ht="30" x14ac:dyDescent="0.25">
      <c r="A134" s="448" t="s">
        <v>900</v>
      </c>
      <c r="B134" s="449" t="str">
        <f>VLOOKUP(A134,'Feature Raw Data'!$A$3:$B$3986,2,FALSE)</f>
        <v>Feature name - EX-FEAT-128</v>
      </c>
      <c r="C134" s="450" t="str">
        <f>VLOOKUP(A134,'Feature Raw Data'!$A$3:$C$3986,3,FALSE)</f>
        <v>P2</v>
      </c>
      <c r="D134" s="451" t="str" cm="1">
        <f t="array" ref="D134">_xlfn.TEXTJOIN("",TRUE,IF(ISNUMBER(SEARCH($A134,'Diags Raw Data'!$A$6:$A$3786)),CONCATENATE('Diags Raw Data'!$H$6:$H$3786,", "),""))</f>
        <v xml:space="preserve">acpaz341.1-3, </v>
      </c>
      <c r="E134" s="342" t="str">
        <f>VLOOKUP(A134,'Diags Raw Data'!$A$6:$D$3786,4,FALSE)</f>
        <v>Hifi5-Xtensa DSP1 Test</v>
      </c>
      <c r="F134" s="342" t="str">
        <f>VLOOKUP(A134,'Feature Raw Data'!$A$3:$E$3986,5,FALSE)</f>
        <v>Legacy</v>
      </c>
      <c r="G134" s="342" t="str">
        <f t="shared" si="8"/>
        <v>Yes</v>
      </c>
      <c r="H134" s="342" t="str">
        <f t="shared" si="9"/>
        <v>Yes</v>
      </c>
      <c r="I134" s="450">
        <f>SUMIF('Diags Raw Data'!$A$6:$A$3786,"*"&amp;$A134&amp;"*",'Diags Raw Data'!$K$6:$K$3786)</f>
        <v>1</v>
      </c>
      <c r="J134" s="452">
        <f>SUMIF('Diags Raw Data'!$A$6:$A$3786,"*"&amp;$A134&amp;"*",'Diags Raw Data'!$L$6:$L$3786)</f>
        <v>3</v>
      </c>
      <c r="K134" s="499" cm="1">
        <f t="array" ref="K134">IF(D134="",0, SUMPRODUCT(--(ISNUMBER(SEARCH($A134,'Diags Raw Data'!$A$6:$A$3786))),'Diags Raw Data'!$L$6:$L$3786,'Diags Raw Data'!$N$6:$N$3786)/J134)</f>
        <v>1</v>
      </c>
      <c r="L134" s="500" cm="1">
        <f t="array" ref="L134">IF(D134="",0, SUMPRODUCT(--(ISNUMBER(SEARCH($A134,'Diags Raw Data'!$A$6:$A$3786))),'Diags Raw Data'!$L$6:$L$3786,'Diags Raw Data'!$P$6:$P$3786)/J134)</f>
        <v>1</v>
      </c>
      <c r="M134" s="501" cm="1">
        <f t="array" ref="M134">SUMPRODUCT(--(ISNUMBER(SEARCH($A134,'Diags Raw Data'!$A$6:$A$3786))),--('Diags Raw Data'!$Q$6:$Q$3786&lt;&gt;"N/A"),'Diags Raw Data'!$R$6:$R$3786)</f>
        <v>3</v>
      </c>
      <c r="N134" s="502" cm="1">
        <f t="array" ref="N134">SUMPRODUCT(--(ISNUMBER(SEARCH($A134,'Diags Raw Data'!$A$6:$A$3786))),--('Diags Raw Data'!$Q$6:$Q$3786&lt;&gt;"N/A"),'Diags Raw Data'!$T$6:$T$3786)+SUMPRODUCT(--(ISNUMBER(SEARCH($A134,'Diags Raw Data'!$A$6:$A$3786))),--('Diags Raw Data'!$Q$6:$Q$3786&lt;&gt;"N/A"),'Diags Raw Data'!$U$6:$U$3786)</f>
        <v>3</v>
      </c>
      <c r="O134" s="503">
        <f t="shared" si="13"/>
        <v>1</v>
      </c>
      <c r="P134" s="504">
        <f>SUMIF('Diags Raw Data'!$A$6:$A$3786,"*"&amp;$A134&amp;"*",'Diags Raw Data'!$Z$6:$Z$3786)</f>
        <v>0</v>
      </c>
      <c r="Q134" s="505">
        <f>SUM(SUMIF('Diags Raw Data'!$A$6:$A$3786,"*"&amp;$A134&amp;"*",'Diags Raw Data'!$AA$6:$AA$3786),SUMIF('Diags Raw Data'!$A$6:$A$3786,"*"&amp;$A134&amp;"*",'Diags Raw Data'!$AB$6:$AB$3786))</f>
        <v>0</v>
      </c>
      <c r="R134" s="506">
        <f t="shared" si="10"/>
        <v>0</v>
      </c>
      <c r="S134" s="506">
        <f t="shared" si="11"/>
        <v>0</v>
      </c>
      <c r="T134" s="507">
        <f t="shared" si="12"/>
        <v>0</v>
      </c>
      <c r="U134" s="453" t="s">
        <v>286</v>
      </c>
      <c r="V134" s="181"/>
    </row>
    <row r="135" spans="1:22" ht="30" x14ac:dyDescent="0.25">
      <c r="A135" s="448" t="s">
        <v>904</v>
      </c>
      <c r="B135" s="449" t="str">
        <f>VLOOKUP(A135,'Feature Raw Data'!$A$3:$B$3986,2,FALSE)</f>
        <v>Feature name - EX-FEAT-129</v>
      </c>
      <c r="C135" s="450" t="str">
        <f>VLOOKUP(A135,'Feature Raw Data'!$A$3:$C$3986,3,FALSE)</f>
        <v>P2</v>
      </c>
      <c r="D135" s="451" t="str" cm="1">
        <f t="array" ref="D135">_xlfn.TEXTJOIN("",TRUE,IF(ISNUMBER(SEARCH($A135,'Diags Raw Data'!$A$6:$A$3786)),CONCATENATE('Diags Raw Data'!$H$6:$H$3786,", "),""))</f>
        <v xml:space="preserve">acpaz105, </v>
      </c>
      <c r="E135" s="342" t="str">
        <f>VLOOKUP(A135,'Diags Raw Data'!$A$6:$D$3786,4,FALSE)</f>
        <v>Hifi5-Xtensa DSP Test</v>
      </c>
      <c r="F135" s="342" t="str">
        <f>VLOOKUP(A135,'Feature Raw Data'!$A$3:$E$3986,5,FALSE)</f>
        <v>Legacy</v>
      </c>
      <c r="G135" s="342" t="str">
        <f t="shared" si="8"/>
        <v>Yes</v>
      </c>
      <c r="H135" s="342" t="str">
        <f t="shared" si="9"/>
        <v>Yes</v>
      </c>
      <c r="I135" s="450">
        <f>SUMIF('Diags Raw Data'!$A$6:$A$3786,"*"&amp;$A135&amp;"*",'Diags Raw Data'!$K$6:$K$3786)</f>
        <v>1</v>
      </c>
      <c r="J135" s="452">
        <f>SUMIF('Diags Raw Data'!$A$6:$A$3786,"*"&amp;$A135&amp;"*",'Diags Raw Data'!$L$6:$L$3786)</f>
        <v>2</v>
      </c>
      <c r="K135" s="499" cm="1">
        <f t="array" ref="K135">IF(D135="",0, SUMPRODUCT(--(ISNUMBER(SEARCH($A135,'Diags Raw Data'!$A$6:$A$3786))),'Diags Raw Data'!$L$6:$L$3786,'Diags Raw Data'!$N$6:$N$3786)/J135)</f>
        <v>1</v>
      </c>
      <c r="L135" s="500" cm="1">
        <f t="array" ref="L135">IF(D135="",0, SUMPRODUCT(--(ISNUMBER(SEARCH($A135,'Diags Raw Data'!$A$6:$A$3786))),'Diags Raw Data'!$L$6:$L$3786,'Diags Raw Data'!$P$6:$P$3786)/J135)</f>
        <v>1</v>
      </c>
      <c r="M135" s="501" cm="1">
        <f t="array" ref="M135">SUMPRODUCT(--(ISNUMBER(SEARCH($A135,'Diags Raw Data'!$A$6:$A$3786))),--('Diags Raw Data'!$Q$6:$Q$3786&lt;&gt;"N/A"),'Diags Raw Data'!$R$6:$R$3786)</f>
        <v>2</v>
      </c>
      <c r="N135" s="502" cm="1">
        <f t="array" ref="N135">SUMPRODUCT(--(ISNUMBER(SEARCH($A135,'Diags Raw Data'!$A$6:$A$3786))),--('Diags Raw Data'!$Q$6:$Q$3786&lt;&gt;"N/A"),'Diags Raw Data'!$T$6:$T$3786)+SUMPRODUCT(--(ISNUMBER(SEARCH($A135,'Diags Raw Data'!$A$6:$A$3786))),--('Diags Raw Data'!$Q$6:$Q$3786&lt;&gt;"N/A"),'Diags Raw Data'!$U$6:$U$3786)</f>
        <v>2</v>
      </c>
      <c r="O135" s="503">
        <f t="shared" si="13"/>
        <v>1</v>
      </c>
      <c r="P135" s="504">
        <f>SUMIF('Diags Raw Data'!$A$6:$A$3786,"*"&amp;$A135&amp;"*",'Diags Raw Data'!$Z$6:$Z$3786)</f>
        <v>0</v>
      </c>
      <c r="Q135" s="505">
        <f>SUM(SUMIF('Diags Raw Data'!$A$6:$A$3786,"*"&amp;$A135&amp;"*",'Diags Raw Data'!$AA$6:$AA$3786),SUMIF('Diags Raw Data'!$A$6:$A$3786,"*"&amp;$A135&amp;"*",'Diags Raw Data'!$AB$6:$AB$3786))</f>
        <v>0</v>
      </c>
      <c r="R135" s="506">
        <f t="shared" si="10"/>
        <v>0</v>
      </c>
      <c r="S135" s="506">
        <f t="shared" si="11"/>
        <v>0</v>
      </c>
      <c r="T135" s="507">
        <f t="shared" si="12"/>
        <v>0</v>
      </c>
      <c r="U135" s="453" t="s">
        <v>286</v>
      </c>
      <c r="V135" s="181"/>
    </row>
    <row r="136" spans="1:22" ht="30" x14ac:dyDescent="0.25">
      <c r="A136" s="448" t="s">
        <v>909</v>
      </c>
      <c r="B136" s="449" t="str">
        <f>VLOOKUP(A136,'Feature Raw Data'!$A$3:$B$3986,2,FALSE)</f>
        <v>Feature name - EX-FEAT-130</v>
      </c>
      <c r="C136" s="450" t="str">
        <f>VLOOKUP(A136,'Feature Raw Data'!$A$3:$C$3986,3,FALSE)</f>
        <v>P2</v>
      </c>
      <c r="D136" s="451" t="str" cm="1">
        <f t="array" ref="D136">_xlfn.TEXTJOIN("",TRUE,IF(ISNUMBER(SEARCH($A136,'Diags Raw Data'!$A$6:$A$3786)),CONCATENATE('Diags Raw Data'!$H$6:$H$3786,", "),""))</f>
        <v xml:space="preserve">acpaz342, </v>
      </c>
      <c r="E136" s="342" t="str">
        <f>VLOOKUP(A136,'Diags Raw Data'!$A$6:$D$3786,4,FALSE)</f>
        <v>ACP DSP Multi master test</v>
      </c>
      <c r="F136" s="342" t="str">
        <f>VLOOKUP(A136,'Feature Raw Data'!$A$3:$E$3986,5,FALSE)</f>
        <v>Legacy</v>
      </c>
      <c r="G136" s="342" t="str">
        <f t="shared" si="8"/>
        <v>Yes</v>
      </c>
      <c r="H136" s="342" t="str">
        <f t="shared" si="9"/>
        <v>Yes</v>
      </c>
      <c r="I136" s="450">
        <f>SUMIF('Diags Raw Data'!$A$6:$A$3786,"*"&amp;$A136&amp;"*",'Diags Raw Data'!$K$6:$K$3786)</f>
        <v>1</v>
      </c>
      <c r="J136" s="452">
        <f>SUMIF('Diags Raw Data'!$A$6:$A$3786,"*"&amp;$A136&amp;"*",'Diags Raw Data'!$L$6:$L$3786)</f>
        <v>1</v>
      </c>
      <c r="K136" s="499" cm="1">
        <f t="array" ref="K136">IF(D136="",0, SUMPRODUCT(--(ISNUMBER(SEARCH($A136,'Diags Raw Data'!$A$6:$A$3786))),'Diags Raw Data'!$L$6:$L$3786,'Diags Raw Data'!$N$6:$N$3786)/J136)</f>
        <v>1</v>
      </c>
      <c r="L136" s="500" cm="1">
        <f t="array" ref="L136">IF(D136="",0, SUMPRODUCT(--(ISNUMBER(SEARCH($A136,'Diags Raw Data'!$A$6:$A$3786))),'Diags Raw Data'!$L$6:$L$3786,'Diags Raw Data'!$P$6:$P$3786)/J136)</f>
        <v>1</v>
      </c>
      <c r="M136" s="501" cm="1">
        <f t="array" ref="M136">SUMPRODUCT(--(ISNUMBER(SEARCH($A136,'Diags Raw Data'!$A$6:$A$3786))),--('Diags Raw Data'!$Q$6:$Q$3786&lt;&gt;"N/A"),'Diags Raw Data'!$R$6:$R$3786)</f>
        <v>1</v>
      </c>
      <c r="N136" s="502" cm="1">
        <f t="array" ref="N136">SUMPRODUCT(--(ISNUMBER(SEARCH($A136,'Diags Raw Data'!$A$6:$A$3786))),--('Diags Raw Data'!$Q$6:$Q$3786&lt;&gt;"N/A"),'Diags Raw Data'!$T$6:$T$3786)+SUMPRODUCT(--(ISNUMBER(SEARCH($A136,'Diags Raw Data'!$A$6:$A$3786))),--('Diags Raw Data'!$Q$6:$Q$3786&lt;&gt;"N/A"),'Diags Raw Data'!$U$6:$U$3786)</f>
        <v>1</v>
      </c>
      <c r="O136" s="503">
        <f>IF((M136=0),0,N136/M136)</f>
        <v>1</v>
      </c>
      <c r="P136" s="504">
        <f>SUMIF('Diags Raw Data'!$A$6:$A$3786,"*"&amp;$A136&amp;"*",'Diags Raw Data'!$Z$6:$Z$3786)</f>
        <v>0</v>
      </c>
      <c r="Q136" s="505">
        <f>SUM(SUMIF('Diags Raw Data'!$A$6:$A$3786,"*"&amp;$A136&amp;"*",'Diags Raw Data'!$AA$6:$AA$3786),SUMIF('Diags Raw Data'!$A$6:$A$3786,"*"&amp;$A136&amp;"*",'Diags Raw Data'!$AB$6:$AB$3786))</f>
        <v>0</v>
      </c>
      <c r="R136" s="506">
        <f>IF((J136=0),0,P136/J136)</f>
        <v>0</v>
      </c>
      <c r="S136" s="506">
        <f t="shared" si="11"/>
        <v>0</v>
      </c>
      <c r="T136" s="507">
        <f t="shared" si="12"/>
        <v>0</v>
      </c>
      <c r="U136" s="453" t="s">
        <v>1113</v>
      </c>
      <c r="V136" s="181"/>
    </row>
    <row r="137" spans="1:22" ht="45" x14ac:dyDescent="0.25">
      <c r="A137" s="448" t="s">
        <v>913</v>
      </c>
      <c r="B137" s="449" t="str">
        <f>VLOOKUP(A137,'Feature Raw Data'!$A$3:$B$3986,2,FALSE)</f>
        <v>Feature name - EX-FEAT-131</v>
      </c>
      <c r="C137" s="450" t="str">
        <f>VLOOKUP(A137,'Feature Raw Data'!$A$3:$C$3986,3,FALSE)</f>
        <v>P2</v>
      </c>
      <c r="D137" s="451" t="str" cm="1">
        <f t="array" ref="D137">_xlfn.TEXTJOIN("",TRUE,IF(ISNUMBER(SEARCH($A137,'Diags Raw Data'!$A$6:$A$3786)),CONCATENATE('Diags Raw Data'!$H$6:$H$3786,", "),""))</f>
        <v xml:space="preserve">acpaz343.1-6, </v>
      </c>
      <c r="E137" s="342" t="str">
        <f>VLOOKUP(A137,'Diags Raw Data'!$A$6:$D$3786,4,FALSE)</f>
        <v>ACP DSP cross acc IRAM/DRAM</v>
      </c>
      <c r="F137" s="342" t="str">
        <f>VLOOKUP(A137,'Feature Raw Data'!$A$3:$E$3986,5,FALSE)</f>
        <v>Legacy</v>
      </c>
      <c r="G137" s="342" t="str">
        <f t="shared" si="8"/>
        <v>Yes</v>
      </c>
      <c r="H137" s="342" t="str">
        <f t="shared" si="9"/>
        <v>Yes</v>
      </c>
      <c r="I137" s="450">
        <f>SUMIF('Diags Raw Data'!$A$6:$A$3786,"*"&amp;$A137&amp;"*",'Diags Raw Data'!$K$6:$K$3786)</f>
        <v>1</v>
      </c>
      <c r="J137" s="452">
        <f>SUMIF('Diags Raw Data'!$A$6:$A$3786,"*"&amp;$A137&amp;"*",'Diags Raw Data'!$L$6:$L$3786)</f>
        <v>6</v>
      </c>
      <c r="K137" s="499" cm="1">
        <f t="array" ref="K137">IF(D137="",0, SUMPRODUCT(--(ISNUMBER(SEARCH($A137,'Diags Raw Data'!$A$6:$A$3786))),'Diags Raw Data'!$L$6:$L$3786,'Diags Raw Data'!$N$6:$N$3786)/J137)</f>
        <v>1</v>
      </c>
      <c r="L137" s="500" cm="1">
        <f t="array" ref="L137">IF(D137="",0, SUMPRODUCT(--(ISNUMBER(SEARCH($A137,'Diags Raw Data'!$A$6:$A$3786))),'Diags Raw Data'!$L$6:$L$3786,'Diags Raw Data'!$P$6:$P$3786)/J137)</f>
        <v>1</v>
      </c>
      <c r="M137" s="501" cm="1">
        <f t="array" ref="M137">SUMPRODUCT(--(ISNUMBER(SEARCH($A137,'Diags Raw Data'!$A$6:$A$3786))),--('Diags Raw Data'!$Q$6:$Q$3786&lt;&gt;"N/A"),'Diags Raw Data'!$R$6:$R$3786)</f>
        <v>6</v>
      </c>
      <c r="N137" s="502" cm="1">
        <f t="array" ref="N137">SUMPRODUCT(--(ISNUMBER(SEARCH($A137,'Diags Raw Data'!$A$6:$A$3786))),--('Diags Raw Data'!$Q$6:$Q$3786&lt;&gt;"N/A"),'Diags Raw Data'!$T$6:$T$3786)+SUMPRODUCT(--(ISNUMBER(SEARCH($A137,'Diags Raw Data'!$A$6:$A$3786))),--('Diags Raw Data'!$Q$6:$Q$3786&lt;&gt;"N/A"),'Diags Raw Data'!$U$6:$U$3786)</f>
        <v>6</v>
      </c>
      <c r="O137" s="503">
        <f t="shared" si="13"/>
        <v>1</v>
      </c>
      <c r="P137" s="504">
        <f>SUMIF('Diags Raw Data'!$A$6:$A$3786,"*"&amp;$A137&amp;"*",'Diags Raw Data'!$Z$6:$Z$3786)</f>
        <v>0</v>
      </c>
      <c r="Q137" s="505">
        <f>SUM(SUMIF('Diags Raw Data'!$A$6:$A$3786,"*"&amp;$A137&amp;"*",'Diags Raw Data'!$AA$6:$AA$3786),SUMIF('Diags Raw Data'!$A$6:$A$3786,"*"&amp;$A137&amp;"*",'Diags Raw Data'!$AB$6:$AB$3786))</f>
        <v>0</v>
      </c>
      <c r="R137" s="506">
        <f>IF((J137=0),0,P137/J137)</f>
        <v>0</v>
      </c>
      <c r="S137" s="506">
        <f t="shared" si="11"/>
        <v>0</v>
      </c>
      <c r="T137" s="507">
        <f t="shared" si="12"/>
        <v>0</v>
      </c>
      <c r="U137" s="453" t="s">
        <v>1113</v>
      </c>
      <c r="V137" s="181"/>
    </row>
    <row r="138" spans="1:22" x14ac:dyDescent="0.25">
      <c r="A138" s="448" t="s">
        <v>917</v>
      </c>
      <c r="B138" s="449" t="str">
        <f>VLOOKUP(A138,'Feature Raw Data'!$A$3:$B$3986,2,FALSE)</f>
        <v>Feature name - EX-FEAT-132</v>
      </c>
      <c r="C138" s="450" t="str">
        <f>VLOOKUP(A138,'Feature Raw Data'!$A$3:$C$3986,3,FALSE)</f>
        <v>P2</v>
      </c>
      <c r="D138" s="451" t="str" cm="1">
        <f t="array" ref="D138">_xlfn.TEXTJOIN("",TRUE,IF(ISNUMBER(SEARCH($A138,'Diags Raw Data'!$A$6:$A$3786)),CONCATENATE('Diags Raw Data'!$H$6:$H$3786,", "),""))</f>
        <v xml:space="preserve">acpaz108.1-4, </v>
      </c>
      <c r="E138" s="342" t="str">
        <f>VLOOKUP(A138,'Diags Raw Data'!$A$6:$D$3786,4,FALSE)</f>
        <v xml:space="preserve">ACP Efuse test </v>
      </c>
      <c r="F138" s="342" t="str">
        <f>VLOOKUP(A138,'Feature Raw Data'!$A$3:$E$3986,5,FALSE)</f>
        <v>Legacy</v>
      </c>
      <c r="G138" s="342" t="str">
        <f t="shared" si="8"/>
        <v>Yes</v>
      </c>
      <c r="H138" s="342" t="str">
        <f t="shared" si="9"/>
        <v>Yes</v>
      </c>
      <c r="I138" s="450">
        <f>SUMIF('Diags Raw Data'!$A$6:$A$3786,"*"&amp;$A138&amp;"*",'Diags Raw Data'!$K$6:$K$3786)</f>
        <v>1</v>
      </c>
      <c r="J138" s="452">
        <f>SUMIF('Diags Raw Data'!$A$6:$A$3786,"*"&amp;$A138&amp;"*",'Diags Raw Data'!$L$6:$L$3786)</f>
        <v>4</v>
      </c>
      <c r="K138" s="499" cm="1">
        <f t="array" ref="K138">IF(D138="",0, SUMPRODUCT(--(ISNUMBER(SEARCH($A138,'Diags Raw Data'!$A$6:$A$3786))),'Diags Raw Data'!$L$6:$L$3786,'Diags Raw Data'!$N$6:$N$3786)/J138)</f>
        <v>1</v>
      </c>
      <c r="L138" s="500" cm="1">
        <f t="array" ref="L138">IF(D138="",0, SUMPRODUCT(--(ISNUMBER(SEARCH($A138,'Diags Raw Data'!$A$6:$A$3786))),'Diags Raw Data'!$L$6:$L$3786,'Diags Raw Data'!$P$6:$P$3786)/J138)</f>
        <v>1</v>
      </c>
      <c r="M138" s="501" cm="1">
        <f t="array" ref="M138">SUMPRODUCT(--(ISNUMBER(SEARCH($A138,'Diags Raw Data'!$A$6:$A$3786))),--('Diags Raw Data'!$Q$6:$Q$3786&lt;&gt;"N/A"),'Diags Raw Data'!$R$6:$R$3786)</f>
        <v>4</v>
      </c>
      <c r="N138" s="502" cm="1">
        <f t="array" ref="N138">SUMPRODUCT(--(ISNUMBER(SEARCH($A138,'Diags Raw Data'!$A$6:$A$3786))),--('Diags Raw Data'!$Q$6:$Q$3786&lt;&gt;"N/A"),'Diags Raw Data'!$T$6:$T$3786)+SUMPRODUCT(--(ISNUMBER(SEARCH($A138,'Diags Raw Data'!$A$6:$A$3786))),--('Diags Raw Data'!$Q$6:$Q$3786&lt;&gt;"N/A"),'Diags Raw Data'!$U$6:$U$3786)</f>
        <v>4</v>
      </c>
      <c r="O138" s="503">
        <f t="shared" si="13"/>
        <v>1</v>
      </c>
      <c r="P138" s="504">
        <f>SUMIF('Diags Raw Data'!$A$6:$A$3786,"*"&amp;$A138&amp;"*",'Diags Raw Data'!$Z$6:$Z$3786)</f>
        <v>0</v>
      </c>
      <c r="Q138" s="505">
        <f>SUM(SUMIF('Diags Raw Data'!$A$6:$A$3786,"*"&amp;$A138&amp;"*",'Diags Raw Data'!$AA$6:$AA$3786),SUMIF('Diags Raw Data'!$A$6:$A$3786,"*"&amp;$A138&amp;"*",'Diags Raw Data'!$AB$6:$AB$3786))</f>
        <v>0</v>
      </c>
      <c r="R138" s="506">
        <f>IF((J138=0),0,P138/J138)</f>
        <v>0</v>
      </c>
      <c r="S138" s="506">
        <f t="shared" si="11"/>
        <v>0</v>
      </c>
      <c r="T138" s="507">
        <f>R138*S138</f>
        <v>0</v>
      </c>
      <c r="U138" s="453" t="s">
        <v>1113</v>
      </c>
      <c r="V138" s="181"/>
    </row>
    <row r="139" spans="1:22" ht="45" x14ac:dyDescent="0.25">
      <c r="A139" s="448" t="s">
        <v>923</v>
      </c>
      <c r="B139" s="449" t="str">
        <f>VLOOKUP(A139,'Feature Raw Data'!$A$3:$B$3986,2,FALSE)</f>
        <v>Feature name - EX-FEAT-133</v>
      </c>
      <c r="C139" s="450" t="str">
        <f>VLOOKUP(A139,'Feature Raw Data'!$A$3:$C$3986,3,FALSE)</f>
        <v>P2</v>
      </c>
      <c r="D139" s="451" t="str" cm="1">
        <f t="array" ref="D139">_xlfn.TEXTJOIN("",TRUE,IF(ISNUMBER(SEARCH($A139,'Diags Raw Data'!$A$6:$A$3786)),CONCATENATE('Diags Raw Data'!$H$6:$H$3786,", "),""))</f>
        <v xml:space="preserve">acpaz103, </v>
      </c>
      <c r="E139" s="342" t="str">
        <f>VLOOKUP(A139,'Diags Raw Data'!$A$6:$D$3786,4,FALSE)</f>
        <v>Hifi DSP Accessing register Test</v>
      </c>
      <c r="F139" s="342" t="str">
        <f>VLOOKUP(A139,'Feature Raw Data'!$A$3:$E$3986,5,FALSE)</f>
        <v>Legacy</v>
      </c>
      <c r="G139" s="342" t="str">
        <f t="shared" si="8"/>
        <v>Yes</v>
      </c>
      <c r="H139" s="342" t="str">
        <f t="shared" si="9"/>
        <v>Yes</v>
      </c>
      <c r="I139" s="450">
        <f>SUMIF('Diags Raw Data'!$A$6:$A$3786,"*"&amp;$A139&amp;"*",'Diags Raw Data'!$K$6:$K$3786)</f>
        <v>1</v>
      </c>
      <c r="J139" s="452">
        <f>SUMIF('Diags Raw Data'!$A$6:$A$3786,"*"&amp;$A139&amp;"*",'Diags Raw Data'!$L$6:$L$3786)</f>
        <v>30</v>
      </c>
      <c r="K139" s="499" cm="1">
        <f t="array" ref="K139">IF(D139="",0, SUMPRODUCT(--(ISNUMBER(SEARCH($A139,'Diags Raw Data'!$A$6:$A$3786))),'Diags Raw Data'!$L$6:$L$3786,'Diags Raw Data'!$N$6:$N$3786)/J139)</f>
        <v>1</v>
      </c>
      <c r="L139" s="500" cm="1">
        <f t="array" ref="L139">IF(D139="",0, SUMPRODUCT(--(ISNUMBER(SEARCH($A139,'Diags Raw Data'!$A$6:$A$3786))),'Diags Raw Data'!$L$6:$L$3786,'Diags Raw Data'!$P$6:$P$3786)/J139)</f>
        <v>1</v>
      </c>
      <c r="M139" s="501" cm="1">
        <f t="array" ref="M139">SUMPRODUCT(--(ISNUMBER(SEARCH($A139,'Diags Raw Data'!$A$6:$A$3786))),--('Diags Raw Data'!$Q$6:$Q$3786&lt;&gt;"N/A"),'Diags Raw Data'!$R$6:$R$3786)</f>
        <v>30</v>
      </c>
      <c r="N139" s="502" cm="1">
        <f t="array" ref="N139">SUMPRODUCT(--(ISNUMBER(SEARCH($A139,'Diags Raw Data'!$A$6:$A$3786))),--('Diags Raw Data'!$Q$6:$Q$3786&lt;&gt;"N/A"),'Diags Raw Data'!$T$6:$T$3786)+SUMPRODUCT(--(ISNUMBER(SEARCH($A139,'Diags Raw Data'!$A$6:$A$3786))),--('Diags Raw Data'!$Q$6:$Q$3786&lt;&gt;"N/A"),'Diags Raw Data'!$U$6:$U$3786)</f>
        <v>30</v>
      </c>
      <c r="O139" s="503">
        <f>IF((M139=0),0,N139/M139)</f>
        <v>1</v>
      </c>
      <c r="P139" s="504">
        <f>SUMIF('Diags Raw Data'!$A$6:$A$3786,"*"&amp;$A139&amp;"*",'Diags Raw Data'!$Z$6:$Z$3786)</f>
        <v>0</v>
      </c>
      <c r="Q139" s="505">
        <f>SUM(SUMIF('Diags Raw Data'!$A$6:$A$3786,"*"&amp;$A139&amp;"*",'Diags Raw Data'!$AA$6:$AA$3786),SUMIF('Diags Raw Data'!$A$6:$A$3786,"*"&amp;$A139&amp;"*",'Diags Raw Data'!$AB$6:$AB$3786))</f>
        <v>0</v>
      </c>
      <c r="R139" s="506">
        <f>IF((J139=0),0,P139/J139)</f>
        <v>0</v>
      </c>
      <c r="S139" s="506">
        <f>IF((P139=0),0,Q139/P139)</f>
        <v>0</v>
      </c>
      <c r="T139" s="507">
        <f>R139*S139</f>
        <v>0</v>
      </c>
      <c r="U139" s="453" t="s">
        <v>286</v>
      </c>
      <c r="V139" s="181"/>
    </row>
    <row r="140" spans="1:22" ht="60" x14ac:dyDescent="0.25">
      <c r="A140" s="448" t="s">
        <v>929</v>
      </c>
      <c r="B140" s="449" t="str">
        <f>VLOOKUP(A140,'Feature Raw Data'!$A$3:$B$3986,2,FALSE)</f>
        <v>Feature name - EX-FEAT-134</v>
      </c>
      <c r="C140" s="450" t="str">
        <f>VLOOKUP(A140,'Feature Raw Data'!$A$3:$C$3986,3,FALSE)</f>
        <v>P2</v>
      </c>
      <c r="D140" s="451" t="str" cm="1">
        <f t="array" ref="D140">_xlfn.TEXTJOIN("",TRUE,IF(ISNUMBER(SEARCH($A140,'Diags Raw Data'!$A$6:$A$3786)),CONCATENATE('Diags Raw Data'!$H$6:$H$3786,", "),""))</f>
        <v xml:space="preserve">Manual, </v>
      </c>
      <c r="E140" s="342" t="str">
        <f>VLOOKUP(A140,'Diags Raw Data'!$A$6:$D$3786,4,FALSE)</f>
        <v>Validate the LPFLL Source Clock Generation</v>
      </c>
      <c r="F140" s="342" t="str">
        <f>VLOOKUP(A140,'Feature Raw Data'!$A$3:$E$3986,5,FALSE)</f>
        <v>Legacy</v>
      </c>
      <c r="G140" s="342" t="str">
        <f t="shared" si="8"/>
        <v>Yes</v>
      </c>
      <c r="H140" s="342" t="str">
        <f t="shared" si="9"/>
        <v>Yes</v>
      </c>
      <c r="I140" s="450">
        <f>SUMIF('Diags Raw Data'!$A$6:$A$3786,"*"&amp;$A140&amp;"*",'Diags Raw Data'!$K$6:$K$3786)</f>
        <v>1</v>
      </c>
      <c r="J140" s="452">
        <f>SUMIF('Diags Raw Data'!$A$6:$A$3786,"*"&amp;$A140&amp;"*",'Diags Raw Data'!$L$6:$L$3786)</f>
        <v>1</v>
      </c>
      <c r="K140" s="499" cm="1">
        <f t="array" ref="K140">IF(D140="",0, SUMPRODUCT(--(ISNUMBER(SEARCH($A140,'Diags Raw Data'!$A$6:$A$3786))),'Diags Raw Data'!$L$6:$L$3786,'Diags Raw Data'!$N$6:$N$3786)/J140)</f>
        <v>1</v>
      </c>
      <c r="L140" s="500" cm="1">
        <f t="array" ref="L140">IF(D140="",0, SUMPRODUCT(--(ISNUMBER(SEARCH($A140,'Diags Raw Data'!$A$6:$A$3786))),'Diags Raw Data'!$L$6:$L$3786,'Diags Raw Data'!$P$6:$P$3786)/J140)</f>
        <v>1</v>
      </c>
      <c r="M140" s="501" cm="1">
        <f t="array" ref="M140">SUMPRODUCT(--(ISNUMBER(SEARCH($A140,'Diags Raw Data'!$A$6:$A$3786))),--('Diags Raw Data'!$Q$6:$Q$3786&lt;&gt;"N/A"),'Diags Raw Data'!$R$6:$R$3786)</f>
        <v>1</v>
      </c>
      <c r="N140" s="502" cm="1">
        <f t="array" ref="N140">SUMPRODUCT(--(ISNUMBER(SEARCH($A140,'Diags Raw Data'!$A$6:$A$3786))),--('Diags Raw Data'!$Q$6:$Q$3786&lt;&gt;"N/A"),'Diags Raw Data'!$T$6:$T$3786)+SUMPRODUCT(--(ISNUMBER(SEARCH($A140,'Diags Raw Data'!$A$6:$A$3786))),--('Diags Raw Data'!$Q$6:$Q$3786&lt;&gt;"N/A"),'Diags Raw Data'!$U$6:$U$3786)</f>
        <v>1</v>
      </c>
      <c r="O140" s="503">
        <f t="shared" ref="O140:O141" si="47">IF((M140=0),0,N140/M140)</f>
        <v>1</v>
      </c>
      <c r="P140" s="504">
        <f>SUMIF('Diags Raw Data'!$A$6:$A$3786,"*"&amp;$A140&amp;"*",'Diags Raw Data'!$Z$6:$Z$3786)</f>
        <v>0</v>
      </c>
      <c r="Q140" s="505">
        <f>SUM(SUMIF('Diags Raw Data'!$A$6:$A$3786,"*"&amp;$A140&amp;"*",'Diags Raw Data'!$AA$6:$AA$3786),SUMIF('Diags Raw Data'!$A$6:$A$3786,"*"&amp;$A140&amp;"*",'Diags Raw Data'!$AB$6:$AB$3786))</f>
        <v>0</v>
      </c>
      <c r="R140" s="506">
        <f t="shared" ref="R140:R141" si="48">IF((J140=0),0,P140/J140)</f>
        <v>0</v>
      </c>
      <c r="S140" s="506">
        <f t="shared" ref="S140:S141" si="49">IF((P140=0),0,Q140/P140)</f>
        <v>0</v>
      </c>
      <c r="T140" s="507">
        <f>R140*S140</f>
        <v>0</v>
      </c>
      <c r="U140" s="453" t="s">
        <v>286</v>
      </c>
      <c r="V140" s="181"/>
    </row>
    <row r="141" spans="1:22" ht="45" x14ac:dyDescent="0.25">
      <c r="A141" s="448" t="s">
        <v>931</v>
      </c>
      <c r="B141" s="449" t="str">
        <f>VLOOKUP(A141,'Feature Raw Data'!$A$3:$B$3986,2,FALSE)</f>
        <v>Feature name - EX-FEAT-135</v>
      </c>
      <c r="C141" s="450" t="str">
        <f>VLOOKUP(A141,'Feature Raw Data'!$A$3:$C$3986,3,FALSE)</f>
        <v>P2</v>
      </c>
      <c r="D141" s="451" t="str" cm="1">
        <f t="array" ref="D141">_xlfn.TEXTJOIN("",TRUE,IF(ISNUMBER(SEARCH($A141,'Diags Raw Data'!$A$6:$A$3786)),CONCATENATE('Diags Raw Data'!$H$6:$H$3786,", "),""))</f>
        <v xml:space="preserve">acpaz107, </v>
      </c>
      <c r="E141" s="342" t="str">
        <f>VLOOKUP(A141,'Diags Raw Data'!$A$6:$D$3786,4,FALSE)</f>
        <v>ACP Tiny NNE AINR Test Enablement</v>
      </c>
      <c r="F141" s="342" t="str">
        <f>VLOOKUP(A141,'Feature Raw Data'!$A$3:$E$3986,5,FALSE)</f>
        <v>Legacy</v>
      </c>
      <c r="G141" s="342" t="str">
        <f t="shared" si="8"/>
        <v>Yes</v>
      </c>
      <c r="H141" s="342" t="str">
        <f t="shared" si="9"/>
        <v>Yes</v>
      </c>
      <c r="I141" s="450">
        <f>SUMIF('Diags Raw Data'!$A$6:$A$3786,"*"&amp;$A141&amp;"*",'Diags Raw Data'!$K$6:$K$3786)</f>
        <v>1</v>
      </c>
      <c r="J141" s="452">
        <f>SUMIF('Diags Raw Data'!$A$6:$A$3786,"*"&amp;$A141&amp;"*",'Diags Raw Data'!$L$6:$L$3786)</f>
        <v>1</v>
      </c>
      <c r="K141" s="499" cm="1">
        <f t="array" ref="K141">IF(D141="",0, SUMPRODUCT(--(ISNUMBER(SEARCH($A141,'Diags Raw Data'!$A$6:$A$3786))),'Diags Raw Data'!$L$6:$L$3786,'Diags Raw Data'!$N$6:$N$3786)/J141)</f>
        <v>1</v>
      </c>
      <c r="L141" s="500" cm="1">
        <f t="array" ref="L141">IF(D141="",0, SUMPRODUCT(--(ISNUMBER(SEARCH($A141,'Diags Raw Data'!$A$6:$A$3786))),'Diags Raw Data'!$L$6:$L$3786,'Diags Raw Data'!$P$6:$P$3786)/J141)</f>
        <v>1</v>
      </c>
      <c r="M141" s="501" cm="1">
        <f t="array" ref="M141">SUMPRODUCT(--(ISNUMBER(SEARCH($A141,'Diags Raw Data'!$A$6:$A$3786))),--('Diags Raw Data'!$Q$6:$Q$3786&lt;&gt;"N/A"),'Diags Raw Data'!$R$6:$R$3786)</f>
        <v>1</v>
      </c>
      <c r="N141" s="502" cm="1">
        <f t="array" ref="N141">SUMPRODUCT(--(ISNUMBER(SEARCH($A141,'Diags Raw Data'!$A$6:$A$3786))),--('Diags Raw Data'!$Q$6:$Q$3786&lt;&gt;"N/A"),'Diags Raw Data'!$T$6:$T$3786)+SUMPRODUCT(--(ISNUMBER(SEARCH($A141,'Diags Raw Data'!$A$6:$A$3786))),--('Diags Raw Data'!$Q$6:$Q$3786&lt;&gt;"N/A"),'Diags Raw Data'!$U$6:$U$3786)</f>
        <v>1</v>
      </c>
      <c r="O141" s="503">
        <f t="shared" si="47"/>
        <v>1</v>
      </c>
      <c r="P141" s="504">
        <f>SUMIF('Diags Raw Data'!$A$6:$A$3786,"*"&amp;$A141&amp;"*",'Diags Raw Data'!$Z$6:$Z$3786)</f>
        <v>0</v>
      </c>
      <c r="Q141" s="505">
        <f>SUM(SUMIF('Diags Raw Data'!$A$6:$A$3786,"*"&amp;$A141&amp;"*",'Diags Raw Data'!$AA$6:$AA$3786),SUMIF('Diags Raw Data'!$A$6:$A$3786,"*"&amp;$A141&amp;"*",'Diags Raw Data'!$AB$6:$AB$3786))</f>
        <v>0</v>
      </c>
      <c r="R141" s="506">
        <f t="shared" si="48"/>
        <v>0</v>
      </c>
      <c r="S141" s="506">
        <f t="shared" si="49"/>
        <v>0</v>
      </c>
      <c r="T141" s="507">
        <f t="shared" ref="T141" si="50">R141*S141</f>
        <v>0</v>
      </c>
      <c r="U141" s="453" t="s">
        <v>1113</v>
      </c>
      <c r="V141" s="181"/>
    </row>
    <row r="142" spans="1:22" x14ac:dyDescent="0.25">
      <c r="A142" s="386"/>
      <c r="B142" s="415"/>
      <c r="C142" s="341"/>
      <c r="D142" s="82"/>
      <c r="E142" s="180"/>
      <c r="F142" s="180"/>
      <c r="G142" s="180"/>
      <c r="H142" s="180"/>
      <c r="I142" s="341"/>
      <c r="J142" s="194"/>
      <c r="K142" s="508"/>
      <c r="L142" s="509"/>
      <c r="M142" s="510"/>
      <c r="N142" s="511"/>
      <c r="O142" s="512"/>
      <c r="P142" s="513"/>
      <c r="Q142" s="514"/>
      <c r="R142" s="515"/>
      <c r="S142" s="515"/>
      <c r="T142" s="516"/>
      <c r="U142" s="387"/>
      <c r="V142" s="181"/>
    </row>
    <row r="143" spans="1:22" x14ac:dyDescent="0.25">
      <c r="A143" s="386"/>
      <c r="B143" s="415"/>
      <c r="C143" s="341"/>
      <c r="D143" s="82"/>
      <c r="E143" s="180"/>
      <c r="F143" s="180"/>
      <c r="G143" s="180"/>
      <c r="H143" s="180"/>
      <c r="I143" s="341"/>
      <c r="J143" s="194"/>
      <c r="K143" s="508"/>
      <c r="L143" s="509"/>
      <c r="M143" s="510"/>
      <c r="N143" s="511"/>
      <c r="O143" s="512"/>
      <c r="P143" s="513"/>
      <c r="Q143" s="514"/>
      <c r="R143" s="515"/>
      <c r="S143" s="515"/>
      <c r="T143" s="516"/>
      <c r="U143" s="387"/>
      <c r="V143" s="181"/>
    </row>
    <row r="144" spans="1:22" ht="15.75" thickBot="1" x14ac:dyDescent="0.3">
      <c r="A144" s="394"/>
      <c r="B144" s="416"/>
      <c r="C144" s="395"/>
      <c r="D144" s="396"/>
      <c r="E144" s="397"/>
      <c r="F144" s="397"/>
      <c r="G144" s="397"/>
      <c r="H144" s="397"/>
      <c r="I144" s="395"/>
      <c r="J144" s="398"/>
      <c r="K144" s="517"/>
      <c r="L144" s="518"/>
      <c r="M144" s="519"/>
      <c r="N144" s="520"/>
      <c r="O144" s="521"/>
      <c r="P144" s="522"/>
      <c r="Q144" s="523"/>
      <c r="R144" s="524"/>
      <c r="S144" s="524"/>
      <c r="T144" s="525"/>
      <c r="U144" s="399"/>
      <c r="V144" s="181"/>
    </row>
    <row r="145" spans="1:22" x14ac:dyDescent="0.25">
      <c r="A145" s="648" t="s">
        <v>1114</v>
      </c>
      <c r="B145" s="743"/>
      <c r="C145" s="743"/>
      <c r="D145" s="743"/>
      <c r="E145" s="743"/>
      <c r="F145" s="743"/>
      <c r="G145" s="743"/>
      <c r="H145" s="743"/>
      <c r="I145" s="743"/>
      <c r="J145" s="743"/>
      <c r="K145" s="743"/>
      <c r="L145" s="743"/>
      <c r="M145" s="743"/>
      <c r="N145" s="743"/>
      <c r="O145" s="743"/>
      <c r="P145" s="743"/>
      <c r="Q145" s="743"/>
      <c r="R145" s="743"/>
      <c r="S145" s="743"/>
      <c r="T145" s="743"/>
      <c r="U145" s="744"/>
      <c r="V145" s="181"/>
    </row>
    <row r="146" spans="1:22" ht="15.75" thickBot="1" x14ac:dyDescent="0.3">
      <c r="A146" s="745"/>
      <c r="B146" s="746"/>
      <c r="C146" s="746"/>
      <c r="D146" s="746"/>
      <c r="E146" s="746"/>
      <c r="F146" s="746"/>
      <c r="G146" s="746"/>
      <c r="H146" s="746"/>
      <c r="I146" s="746"/>
      <c r="J146" s="746"/>
      <c r="K146" s="746"/>
      <c r="L146" s="746"/>
      <c r="M146" s="746"/>
      <c r="N146" s="746"/>
      <c r="O146" s="746"/>
      <c r="P146" s="746"/>
      <c r="Q146" s="746"/>
      <c r="R146" s="746"/>
      <c r="S146" s="746"/>
      <c r="T146" s="746"/>
      <c r="U146" s="747"/>
      <c r="V146" s="181"/>
    </row>
    <row r="147" spans="1:22" s="188" customFormat="1" ht="18.75" x14ac:dyDescent="0.25">
      <c r="A147" s="696" t="s">
        <v>302</v>
      </c>
      <c r="B147" s="697"/>
      <c r="C147" s="697"/>
      <c r="D147" s="697"/>
      <c r="E147" s="697"/>
      <c r="F147" s="698"/>
      <c r="G147" s="408">
        <f>COUNTIF(G7:G144,"Yes")</f>
        <v>135</v>
      </c>
      <c r="H147" s="408">
        <f>COUNTIF(H7:H144,"Yes")</f>
        <v>135</v>
      </c>
      <c r="I147" s="694">
        <f>'Diags Raw Data'!K176</f>
        <v>166</v>
      </c>
      <c r="J147" s="730">
        <f>'Diags Raw Data'!L176</f>
        <v>1239</v>
      </c>
      <c r="K147" s="720">
        <f>'Diags Raw Data'!N176</f>
        <v>1</v>
      </c>
      <c r="L147" s="722">
        <f>'Diags Raw Data'!P176</f>
        <v>1</v>
      </c>
      <c r="M147" s="724">
        <f>'Diags Raw Data'!R176</f>
        <v>1239</v>
      </c>
      <c r="N147" s="716">
        <f>SUM('Diags Raw Data'!T176+'Diags Raw Data'!U176)</f>
        <v>1239</v>
      </c>
      <c r="O147" s="748">
        <f>IF((M147=0),0,N147/M147)</f>
        <v>1</v>
      </c>
      <c r="P147" s="750">
        <f>'Diags Raw Data'!Z176</f>
        <v>0</v>
      </c>
      <c r="Q147" s="706">
        <f>SUM('Diags Raw Data'!AA176+'Diags Raw Data'!AB176)</f>
        <v>0</v>
      </c>
      <c r="R147" s="726">
        <f>IF((J147=0),0,P147/J147)</f>
        <v>0</v>
      </c>
      <c r="S147" s="726">
        <f>IF((P147=0),0,Q147/P147)</f>
        <v>0</v>
      </c>
      <c r="T147" s="726">
        <f>R147*S147</f>
        <v>0</v>
      </c>
      <c r="U147" s="728"/>
      <c r="V147" s="187"/>
    </row>
    <row r="148" spans="1:22" ht="19.5" thickBot="1" x14ac:dyDescent="0.3">
      <c r="A148" s="699"/>
      <c r="B148" s="700"/>
      <c r="C148" s="700"/>
      <c r="D148" s="700"/>
      <c r="E148" s="700"/>
      <c r="F148" s="701"/>
      <c r="G148" s="409">
        <f>COUNTIF(G7:G144,"Yes")/COUNTA(A7:A144)</f>
        <v>1</v>
      </c>
      <c r="H148" s="409">
        <f>(COUNTIF(H7:H144,"Yes")/G147)</f>
        <v>1</v>
      </c>
      <c r="I148" s="695"/>
      <c r="J148" s="731"/>
      <c r="K148" s="721"/>
      <c r="L148" s="723"/>
      <c r="M148" s="725"/>
      <c r="N148" s="717"/>
      <c r="O148" s="749"/>
      <c r="P148" s="751"/>
      <c r="Q148" s="707"/>
      <c r="R148" s="727"/>
      <c r="S148" s="727"/>
      <c r="T148" s="727"/>
      <c r="U148" s="729"/>
      <c r="V148" s="181"/>
    </row>
    <row r="149" spans="1:22" x14ac:dyDescent="0.25">
      <c r="A149" s="189"/>
      <c r="B149" s="190"/>
      <c r="C149" s="190"/>
      <c r="D149" s="189"/>
      <c r="E149" s="190"/>
      <c r="F149" s="190"/>
      <c r="G149" s="390"/>
      <c r="H149" s="190"/>
      <c r="I149" s="400"/>
      <c r="J149" s="400"/>
      <c r="K149" s="195"/>
      <c r="L149" s="195"/>
      <c r="M149" s="196"/>
      <c r="N149" s="196"/>
      <c r="O149" s="195"/>
      <c r="P149" s="192"/>
      <c r="Q149" s="192"/>
      <c r="R149" s="199"/>
      <c r="S149" s="199"/>
      <c r="T149" s="200"/>
      <c r="U149" s="189"/>
    </row>
  </sheetData>
  <sheetProtection insertColumns="0" insertRows="0" deleteRows="0" sort="0"/>
  <autoFilter ref="A6:U148" xr:uid="{00000000-0009-0000-0000-000004000000}"/>
  <mergeCells count="36">
    <mergeCell ref="K5:L5"/>
    <mergeCell ref="A5:J5"/>
    <mergeCell ref="M5:O5"/>
    <mergeCell ref="P5:U5"/>
    <mergeCell ref="A147:F148"/>
    <mergeCell ref="A145:U146"/>
    <mergeCell ref="O147:O148"/>
    <mergeCell ref="P147:P148"/>
    <mergeCell ref="N147:N148"/>
    <mergeCell ref="V2:V3"/>
    <mergeCell ref="A4:U4"/>
    <mergeCell ref="K147:K148"/>
    <mergeCell ref="L147:L148"/>
    <mergeCell ref="M147:M148"/>
    <mergeCell ref="T2:T3"/>
    <mergeCell ref="U2:U3"/>
    <mergeCell ref="R2:R3"/>
    <mergeCell ref="S2:S3"/>
    <mergeCell ref="S147:S148"/>
    <mergeCell ref="T147:T148"/>
    <mergeCell ref="U147:U148"/>
    <mergeCell ref="Q147:Q148"/>
    <mergeCell ref="R147:R148"/>
    <mergeCell ref="I147:I148"/>
    <mergeCell ref="J147:J14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1115</v>
      </c>
      <c r="C1" s="36" t="s">
        <v>1116</v>
      </c>
      <c r="D1" s="36" t="s">
        <v>1117</v>
      </c>
      <c r="E1" s="36" t="s">
        <v>1118</v>
      </c>
      <c r="F1" s="36" t="s">
        <v>1119</v>
      </c>
      <c r="G1" s="37" t="s">
        <v>1120</v>
      </c>
      <c r="H1" s="12"/>
      <c r="I1" s="12"/>
      <c r="J1" s="12"/>
      <c r="K1" s="12"/>
      <c r="L1" s="13"/>
      <c r="M1" s="1"/>
      <c r="N1" s="11"/>
      <c r="X1" s="11"/>
      <c r="AB1" s="752" t="s">
        <v>1121</v>
      </c>
      <c r="AM1" s="752" t="s">
        <v>1122</v>
      </c>
    </row>
    <row r="2" spans="1:40" s="14" customFormat="1" ht="12" x14ac:dyDescent="0.2">
      <c r="A2" s="35" t="s">
        <v>1123</v>
      </c>
      <c r="B2" s="15">
        <v>42994</v>
      </c>
      <c r="C2" s="15">
        <v>43190</v>
      </c>
      <c r="D2" s="16" t="e">
        <f>#REF!</f>
        <v>#REF!</v>
      </c>
      <c r="E2" s="16" t="e">
        <f>#REF!</f>
        <v>#REF!</v>
      </c>
      <c r="F2" s="16">
        <f>(C2-B2)/7</f>
        <v>28</v>
      </c>
      <c r="G2" s="17" t="e">
        <f>E2/F2</f>
        <v>#REF!</v>
      </c>
      <c r="H2" s="18"/>
      <c r="I2" s="18"/>
      <c r="J2" s="18"/>
      <c r="K2" s="18"/>
      <c r="L2" s="19"/>
      <c r="M2" s="20"/>
      <c r="N2" s="21"/>
      <c r="X2" s="21"/>
      <c r="AB2" s="753"/>
      <c r="AM2" s="753"/>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54" t="s">
        <v>1124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55"/>
      <c r="B5" s="47" t="s">
        <v>1125</v>
      </c>
      <c r="C5" s="47" t="s">
        <v>1126</v>
      </c>
      <c r="D5" s="47" t="s">
        <v>1127</v>
      </c>
      <c r="E5" s="47" t="s">
        <v>1128</v>
      </c>
      <c r="F5" s="47" t="s">
        <v>1129</v>
      </c>
      <c r="G5" s="47" t="s">
        <v>1130</v>
      </c>
      <c r="H5" s="47" t="s">
        <v>1131</v>
      </c>
      <c r="I5" s="47" t="s">
        <v>1132</v>
      </c>
      <c r="J5" s="47" t="s">
        <v>1133</v>
      </c>
      <c r="K5" s="47" t="s">
        <v>1134</v>
      </c>
      <c r="L5" s="47" t="s">
        <v>1135</v>
      </c>
      <c r="M5" s="47" t="s">
        <v>1136</v>
      </c>
      <c r="N5" s="47" t="s">
        <v>1137</v>
      </c>
      <c r="O5" s="47" t="s">
        <v>1138</v>
      </c>
      <c r="P5" s="47" t="s">
        <v>1139</v>
      </c>
      <c r="Q5" s="47" t="s">
        <v>1140</v>
      </c>
      <c r="R5" s="47" t="s">
        <v>1141</v>
      </c>
      <c r="S5" s="47" t="s">
        <v>1142</v>
      </c>
      <c r="T5" s="47" t="s">
        <v>1143</v>
      </c>
      <c r="U5" s="47" t="s">
        <v>1144</v>
      </c>
      <c r="V5" s="47" t="s">
        <v>1145</v>
      </c>
      <c r="W5" s="47" t="s">
        <v>1146</v>
      </c>
      <c r="X5" s="47" t="s">
        <v>1147</v>
      </c>
      <c r="Y5" s="47" t="s">
        <v>1148</v>
      </c>
      <c r="Z5" s="47" t="s">
        <v>1149</v>
      </c>
      <c r="AA5" s="47" t="s">
        <v>1150</v>
      </c>
      <c r="AB5" s="47" t="s">
        <v>1151</v>
      </c>
      <c r="AC5" s="47" t="s">
        <v>1152</v>
      </c>
      <c r="AD5" s="47" t="s">
        <v>1153</v>
      </c>
      <c r="AE5" s="47" t="s">
        <v>1154</v>
      </c>
      <c r="AF5" s="47" t="s">
        <v>1155</v>
      </c>
      <c r="AG5" s="47" t="s">
        <v>1156</v>
      </c>
      <c r="AH5" s="47" t="s">
        <v>1157</v>
      </c>
      <c r="AI5" s="47" t="s">
        <v>1158</v>
      </c>
      <c r="AJ5" s="47" t="s">
        <v>1159</v>
      </c>
      <c r="AK5" s="47" t="s">
        <v>1160</v>
      </c>
      <c r="AL5" s="66" t="s">
        <v>1161</v>
      </c>
      <c r="AM5" s="65" t="s">
        <v>1162</v>
      </c>
      <c r="AN5" s="50"/>
    </row>
    <row r="6" spans="1:40" ht="12" x14ac:dyDescent="0.2">
      <c r="A6" s="48" t="s">
        <v>1163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1164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54" t="s">
        <v>1165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6"/>
      <c r="B10" s="32" t="s">
        <v>1125</v>
      </c>
      <c r="C10" s="32" t="s">
        <v>1126</v>
      </c>
      <c r="D10" s="32" t="s">
        <v>1127</v>
      </c>
      <c r="E10" s="32" t="s">
        <v>1128</v>
      </c>
      <c r="F10" s="32" t="s">
        <v>1129</v>
      </c>
      <c r="G10" s="32" t="s">
        <v>1130</v>
      </c>
      <c r="H10" s="32" t="s">
        <v>1131</v>
      </c>
      <c r="I10" s="32" t="s">
        <v>1132</v>
      </c>
      <c r="J10" s="32" t="s">
        <v>1133</v>
      </c>
      <c r="K10" s="32" t="s">
        <v>1134</v>
      </c>
      <c r="L10" s="32" t="s">
        <v>1135</v>
      </c>
      <c r="M10" s="32" t="s">
        <v>1136</v>
      </c>
      <c r="N10" s="32" t="s">
        <v>1137</v>
      </c>
      <c r="O10" s="32" t="s">
        <v>1138</v>
      </c>
      <c r="P10" s="32" t="s">
        <v>1139</v>
      </c>
      <c r="Q10" s="32" t="s">
        <v>1140</v>
      </c>
      <c r="R10" s="32" t="s">
        <v>1141</v>
      </c>
      <c r="S10" s="32" t="s">
        <v>1142</v>
      </c>
      <c r="T10" s="32" t="s">
        <v>1143</v>
      </c>
      <c r="U10" s="32" t="s">
        <v>1144</v>
      </c>
      <c r="V10" s="32" t="s">
        <v>1145</v>
      </c>
      <c r="W10" s="32" t="s">
        <v>1146</v>
      </c>
      <c r="X10" s="32" t="s">
        <v>1147</v>
      </c>
      <c r="Y10" s="32" t="s">
        <v>1148</v>
      </c>
      <c r="Z10" s="32" t="s">
        <v>1149</v>
      </c>
      <c r="AA10" s="32" t="s">
        <v>1150</v>
      </c>
      <c r="AB10" s="32" t="s">
        <v>1151</v>
      </c>
      <c r="AC10" s="32" t="s">
        <v>1152</v>
      </c>
      <c r="AD10" s="32" t="s">
        <v>1153</v>
      </c>
      <c r="AE10" s="32" t="s">
        <v>1154</v>
      </c>
      <c r="AF10" s="32" t="s">
        <v>1155</v>
      </c>
      <c r="AG10" s="32" t="s">
        <v>1156</v>
      </c>
      <c r="AH10" s="32" t="s">
        <v>1157</v>
      </c>
      <c r="AI10" s="32" t="s">
        <v>1158</v>
      </c>
      <c r="AJ10" s="64" t="s">
        <v>1159</v>
      </c>
      <c r="AK10" s="63" t="s">
        <v>1160</v>
      </c>
      <c r="AL10" s="47" t="s">
        <v>1161</v>
      </c>
      <c r="AM10" s="72" t="s">
        <v>1162</v>
      </c>
      <c r="AN10" s="68"/>
    </row>
    <row r="11" spans="1:40" x14ac:dyDescent="0.25">
      <c r="A11" s="42" t="s">
        <v>1163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1164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1166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1167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1168</v>
      </c>
      <c r="B1" s="157" t="s">
        <v>1169</v>
      </c>
      <c r="C1" s="158" t="s">
        <v>1170</v>
      </c>
      <c r="D1" s="158" t="s">
        <v>1171</v>
      </c>
      <c r="E1" s="158" t="s">
        <v>1172</v>
      </c>
      <c r="F1" s="158" t="s">
        <v>1173</v>
      </c>
      <c r="G1" s="158" t="s">
        <v>1174</v>
      </c>
      <c r="H1" s="158" t="s">
        <v>1175</v>
      </c>
      <c r="I1" s="158" t="s">
        <v>1176</v>
      </c>
      <c r="J1" s="158" t="s">
        <v>1177</v>
      </c>
      <c r="K1" s="158" t="s">
        <v>1178</v>
      </c>
      <c r="L1" s="158" t="s">
        <v>1179</v>
      </c>
      <c r="M1" s="158" t="s">
        <v>1180</v>
      </c>
      <c r="N1" s="158" t="s">
        <v>1181</v>
      </c>
      <c r="O1" s="158" t="s">
        <v>1182</v>
      </c>
      <c r="P1" s="158" t="s">
        <v>1183</v>
      </c>
      <c r="Q1" s="158" t="s">
        <v>1184</v>
      </c>
      <c r="R1" s="158" t="s">
        <v>1185</v>
      </c>
      <c r="S1" s="158" t="s">
        <v>1186</v>
      </c>
      <c r="T1" s="158" t="s">
        <v>1187</v>
      </c>
      <c r="U1" s="158" t="s">
        <v>1188</v>
      </c>
      <c r="V1" s="158" t="s">
        <v>1189</v>
      </c>
      <c r="W1" s="158" t="s">
        <v>1190</v>
      </c>
      <c r="X1" s="158" t="s">
        <v>1191</v>
      </c>
      <c r="Y1" s="158" t="s">
        <v>1192</v>
      </c>
      <c r="Z1" s="158" t="s">
        <v>1193</v>
      </c>
      <c r="AA1" s="158" t="s">
        <v>1194</v>
      </c>
      <c r="AB1" s="158" t="s">
        <v>1195</v>
      </c>
      <c r="AC1" s="158" t="s">
        <v>1196</v>
      </c>
      <c r="AD1" s="158" t="s">
        <v>1197</v>
      </c>
      <c r="AE1" s="158" t="s">
        <v>1198</v>
      </c>
      <c r="AF1" s="158" t="s">
        <v>1199</v>
      </c>
      <c r="AG1" s="158" t="s">
        <v>1200</v>
      </c>
      <c r="AH1" s="158" t="s">
        <v>1201</v>
      </c>
      <c r="AI1" s="158" t="s">
        <v>1202</v>
      </c>
      <c r="AJ1" s="158" t="s">
        <v>1203</v>
      </c>
      <c r="AK1" s="158" t="s">
        <v>1204</v>
      </c>
      <c r="AL1" s="158" t="s">
        <v>1205</v>
      </c>
      <c r="AM1" s="158" t="s">
        <v>1206</v>
      </c>
      <c r="AN1" s="158" t="s">
        <v>1207</v>
      </c>
      <c r="AO1" s="158" t="s">
        <v>1208</v>
      </c>
      <c r="AP1" s="158" t="s">
        <v>1209</v>
      </c>
      <c r="AQ1" s="158" t="s">
        <v>1210</v>
      </c>
      <c r="AR1" s="158" t="s">
        <v>1211</v>
      </c>
      <c r="AS1" s="158" t="s">
        <v>1212</v>
      </c>
      <c r="AT1" s="158" t="s">
        <v>1213</v>
      </c>
      <c r="AU1" s="158" t="s">
        <v>1214</v>
      </c>
      <c r="AV1" s="158" t="s">
        <v>1215</v>
      </c>
      <c r="AW1" s="158" t="s">
        <v>1216</v>
      </c>
      <c r="AX1" s="158" t="s">
        <v>1217</v>
      </c>
      <c r="AY1" s="158" t="s">
        <v>1218</v>
      </c>
      <c r="AZ1" s="158" t="s">
        <v>1219</v>
      </c>
      <c r="BA1" s="158" t="s">
        <v>1220</v>
      </c>
      <c r="BB1" s="159" t="s">
        <v>1221</v>
      </c>
    </row>
    <row r="2" spans="1:54" s="135" customFormat="1" x14ac:dyDescent="0.2">
      <c r="A2" s="151" t="s">
        <v>1164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1167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1165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1164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1166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1222</v>
      </c>
      <c r="B3" s="129" t="s">
        <v>1223</v>
      </c>
      <c r="C3" s="129"/>
      <c r="D3" s="219"/>
      <c r="E3" s="129"/>
    </row>
    <row r="4" spans="1:5" x14ac:dyDescent="0.25">
      <c r="A4" s="79" t="s">
        <v>47</v>
      </c>
      <c r="B4">
        <v>0</v>
      </c>
    </row>
    <row r="5" spans="1:5" x14ac:dyDescent="0.25">
      <c r="A5" s="79" t="s">
        <v>1224</v>
      </c>
      <c r="B5">
        <v>85</v>
      </c>
      <c r="D5" s="130">
        <f>GETPIVOTDATA("#Tests",$A$3,"ETA","wk-1")/GETPIVOTDATA("#Tests",$A$3)</f>
        <v>0.17</v>
      </c>
      <c r="E5" s="131">
        <f>D5</f>
        <v>0.17</v>
      </c>
    </row>
    <row r="6" spans="1:5" x14ac:dyDescent="0.25">
      <c r="A6" s="79" t="s">
        <v>566</v>
      </c>
      <c r="B6">
        <v>48</v>
      </c>
      <c r="D6" s="130">
        <f>GETPIVOTDATA("#Tests",$A$3,"ETA","wk-2")/GETPIVOTDATA("#Tests",$A$3)</f>
        <v>9.6000000000000002E-2</v>
      </c>
      <c r="E6" s="131">
        <f t="shared" ref="E6:E12" si="0">E5+D6</f>
        <v>0.26600000000000001</v>
      </c>
    </row>
    <row r="7" spans="1:5" x14ac:dyDescent="0.25">
      <c r="A7" s="79" t="s">
        <v>1225</v>
      </c>
      <c r="B7">
        <v>96</v>
      </c>
      <c r="D7" s="130">
        <f>GETPIVOTDATA("#Tests",$A$3,"ETA","wk-3")/GETPIVOTDATA("#Tests",$A$3)</f>
        <v>0.192</v>
      </c>
      <c r="E7" s="131">
        <f t="shared" si="0"/>
        <v>0.45800000000000002</v>
      </c>
    </row>
    <row r="8" spans="1:5" x14ac:dyDescent="0.25">
      <c r="A8" s="79" t="s">
        <v>836</v>
      </c>
      <c r="B8">
        <v>79</v>
      </c>
      <c r="D8" s="130">
        <f>GETPIVOTDATA("#Tests",$A$3,"ETA","wk-4")/GETPIVOTDATA("#Tests",$A$3)</f>
        <v>0.158</v>
      </c>
      <c r="E8" s="131">
        <f t="shared" si="0"/>
        <v>0.61599999999999999</v>
      </c>
    </row>
    <row r="9" spans="1:5" x14ac:dyDescent="0.25">
      <c r="A9" s="79" t="s">
        <v>1226</v>
      </c>
      <c r="B9">
        <v>82</v>
      </c>
      <c r="D9" s="130">
        <f>GETPIVOTDATA("#Tests",$A$3,"ETA","wk-5")/GETPIVOTDATA("#Tests",$A$3)</f>
        <v>0.16400000000000001</v>
      </c>
      <c r="E9" s="131">
        <f t="shared" si="0"/>
        <v>0.78</v>
      </c>
    </row>
    <row r="10" spans="1:5" x14ac:dyDescent="0.25">
      <c r="A10" s="79" t="s">
        <v>1227</v>
      </c>
      <c r="B10">
        <v>60</v>
      </c>
      <c r="D10" s="130">
        <f>GETPIVOTDATA("#Tests",$A$3,"ETA","wk-6")/GETPIVOTDATA("#Tests",$A$3)</f>
        <v>0.12</v>
      </c>
      <c r="E10" s="131">
        <f t="shared" si="0"/>
        <v>0.9</v>
      </c>
    </row>
    <row r="11" spans="1:5" x14ac:dyDescent="0.25">
      <c r="A11" s="79" t="s">
        <v>1228</v>
      </c>
      <c r="B11">
        <v>30</v>
      </c>
      <c r="D11" s="130">
        <f>GETPIVOTDATA("#Tests",$A$3,"ETA","wk-7")/GETPIVOTDATA("#Tests",$A$3)</f>
        <v>0.06</v>
      </c>
      <c r="E11" s="131">
        <f t="shared" si="0"/>
        <v>0.96</v>
      </c>
    </row>
    <row r="12" spans="1:5" x14ac:dyDescent="0.25">
      <c r="A12" s="79" t="s">
        <v>1229</v>
      </c>
      <c r="B12">
        <v>20</v>
      </c>
      <c r="D12" s="130">
        <f>GETPIVOTDATA("#Tests",$A$3,"ETA","wk-8")/GETPIVOTDATA("#Tests",$A$3)</f>
        <v>0.04</v>
      </c>
      <c r="E12" s="131">
        <f t="shared" si="0"/>
        <v>1</v>
      </c>
    </row>
    <row r="13" spans="1:5" x14ac:dyDescent="0.25">
      <c r="A13" s="79" t="s">
        <v>955</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3D880F86-FF8A-459F-8481-A9D0E38D49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22A514-3872-4BC6-85FB-7D9D07F457A6}">
  <ds:schemaRefs>
    <ds:schemaRef ds:uri="http://purl.org/dc/dcmitype/"/>
    <ds:schemaRef ds:uri="http://schemas.microsoft.com/office/2006/metadata/properties"/>
    <ds:schemaRef ds:uri="http://purl.org/dc/elements/1.1/"/>
    <ds:schemaRef ds:uri="6d5e1dd9-3d6d-4d57-aaa4-c6398f910d60"/>
    <ds:schemaRef ds:uri="http://schemas.microsoft.com/office/2006/documentManagement/types"/>
    <ds:schemaRef ds:uri="http://www.w3.org/XML/1998/namespace"/>
    <ds:schemaRef ds:uri="http://schemas.openxmlformats.org/package/2006/metadata/core-properties"/>
    <ds:schemaRef ds:uri="http://schemas.microsoft.com/office/infopath/2007/PartnerControls"/>
    <ds:schemaRef ds:uri="ec5a97c5-2653-49c6-b3a5-07f7dd96f61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2024-03-28T12:51:14Z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